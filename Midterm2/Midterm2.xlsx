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cmasteru365-my.sharepoint.com/personal/blacklb_mcmaster_ca/Documents/"/>
    </mc:Choice>
  </mc:AlternateContent>
  <xr:revisionPtr revIDLastSave="0" documentId="8_{E1D188D0-FC87-42BE-ABF1-9A5369AA444D}" xr6:coauthVersionLast="47" xr6:coauthVersionMax="47" xr10:uidLastSave="{00000000-0000-0000-0000-000000000000}"/>
  <bookViews>
    <workbookView xWindow="0" yWindow="500" windowWidth="28800" windowHeight="16300" activeTab="2" xr2:uid="{00000000-000D-0000-FFFF-FFFF00000000}"/>
  </bookViews>
  <sheets>
    <sheet name="Sheet3" sheetId="5" r:id="rId1"/>
    <sheet name="Q1" sheetId="1" r:id="rId2"/>
    <sheet name="Q3" sheetId="2" r:id="rId3"/>
    <sheet name="Q1." sheetId="3" r:id="rId4"/>
  </sheets>
  <definedNames>
    <definedName name="solver_eng" localSheetId="0" hidden="1">1</definedName>
    <definedName name="solver_lin" localSheetId="0" hidden="1">2</definedName>
    <definedName name="solver_neg" localSheetId="0" hidden="1">1</definedName>
    <definedName name="solver_num" localSheetId="0" hidden="1">0</definedName>
    <definedName name="solver_opt" localSheetId="0" hidden="1">Sheet3!$B$60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5" l="1"/>
  <c r="B54" i="5"/>
  <c r="C46" i="5"/>
  <c r="C44" i="5" a="1"/>
  <c r="C44" i="5"/>
  <c r="B44" i="5" a="1"/>
  <c r="B44" i="5"/>
  <c r="B49" i="5"/>
  <c r="B48" i="5" a="1"/>
  <c r="B48" i="5"/>
  <c r="A61" i="5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C107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B107" i="5"/>
  <c r="C106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B106" i="5"/>
  <c r="B112" i="5"/>
  <c r="C112" i="5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R112" i="5"/>
  <c r="S112" i="5"/>
  <c r="B113" i="5"/>
  <c r="C113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B114" i="5"/>
  <c r="C114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B115" i="5"/>
  <c r="C115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B116" i="5"/>
  <c r="C116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B117" i="5"/>
  <c r="C117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B118" i="5"/>
  <c r="C118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B119" i="5"/>
  <c r="C119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B120" i="5"/>
  <c r="C120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B121" i="5"/>
  <c r="C121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B122" i="5"/>
  <c r="C122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B123" i="5"/>
  <c r="C123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B124" i="5"/>
  <c r="C124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B125" i="5"/>
  <c r="C125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B126" i="5"/>
  <c r="C126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B127" i="5"/>
  <c r="C127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B128" i="5"/>
  <c r="C128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B129" i="5"/>
  <c r="C129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B130" i="5"/>
  <c r="C130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B131" i="5"/>
  <c r="C131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B132" i="5"/>
  <c r="C132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B133" i="5"/>
  <c r="C133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B134" i="5"/>
  <c r="C134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B135" i="5"/>
  <c r="C135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B136" i="5"/>
  <c r="C136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B137" i="5"/>
  <c r="C137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B138" i="5"/>
  <c r="C138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B139" i="5"/>
  <c r="C139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B140" i="5"/>
  <c r="C140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B141" i="5"/>
  <c r="C141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B142" i="5"/>
  <c r="C142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B143" i="5"/>
  <c r="C143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B144" i="5"/>
  <c r="C144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B145" i="5"/>
  <c r="C145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B146" i="5"/>
  <c r="C146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B147" i="5"/>
  <c r="C147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B148" i="5"/>
  <c r="C148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S148" i="5"/>
  <c r="B149" i="5"/>
  <c r="C149" i="5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S149" i="5"/>
  <c r="B150" i="5"/>
  <c r="C150" i="5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R150" i="5"/>
  <c r="S150" i="5"/>
  <c r="B151" i="5"/>
  <c r="C151" i="5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R151" i="5"/>
  <c r="S151" i="5"/>
  <c r="B152" i="5"/>
  <c r="C152" i="5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B153" i="5"/>
  <c r="C153" i="5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R153" i="5"/>
  <c r="S153" i="5"/>
  <c r="B154" i="5"/>
  <c r="C154" i="5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R154" i="5"/>
  <c r="S154" i="5"/>
  <c r="B155" i="5"/>
  <c r="C155" i="5"/>
  <c r="D155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R155" i="5"/>
  <c r="S155" i="5"/>
  <c r="B156" i="5"/>
  <c r="C156" i="5"/>
  <c r="D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R156" i="5"/>
  <c r="S156" i="5"/>
  <c r="B157" i="5"/>
  <c r="C157" i="5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R157" i="5"/>
  <c r="S157" i="5"/>
  <c r="B158" i="5"/>
  <c r="C158" i="5"/>
  <c r="D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R158" i="5"/>
  <c r="S158" i="5"/>
  <c r="B159" i="5"/>
  <c r="C159" i="5"/>
  <c r="D159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R159" i="5"/>
  <c r="S159" i="5"/>
  <c r="B160" i="5"/>
  <c r="C160" i="5"/>
  <c r="D160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R160" i="5"/>
  <c r="S160" i="5"/>
  <c r="B161" i="5"/>
  <c r="C161" i="5"/>
  <c r="D161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Q161" i="5"/>
  <c r="R161" i="5"/>
  <c r="S161" i="5"/>
  <c r="B162" i="5"/>
  <c r="C162" i="5"/>
  <c r="D162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R162" i="5"/>
  <c r="S162" i="5"/>
  <c r="B163" i="5"/>
  <c r="C163" i="5"/>
  <c r="D163" i="5"/>
  <c r="E163" i="5"/>
  <c r="F163" i="5"/>
  <c r="G163" i="5"/>
  <c r="H163" i="5"/>
  <c r="I163" i="5"/>
  <c r="J163" i="5"/>
  <c r="K163" i="5"/>
  <c r="L163" i="5"/>
  <c r="M163" i="5"/>
  <c r="N163" i="5"/>
  <c r="O163" i="5"/>
  <c r="P163" i="5"/>
  <c r="Q163" i="5"/>
  <c r="R163" i="5"/>
  <c r="S163" i="5"/>
  <c r="B164" i="5"/>
  <c r="C164" i="5"/>
  <c r="D164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R164" i="5"/>
  <c r="S164" i="5"/>
  <c r="B165" i="5"/>
  <c r="C165" i="5"/>
  <c r="D165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Q165" i="5"/>
  <c r="R165" i="5"/>
  <c r="S165" i="5"/>
  <c r="B166" i="5"/>
  <c r="C166" i="5"/>
  <c r="D166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Q166" i="5"/>
  <c r="R166" i="5"/>
  <c r="S166" i="5"/>
  <c r="B167" i="5"/>
  <c r="C167" i="5"/>
  <c r="D167" i="5"/>
  <c r="E167" i="5"/>
  <c r="F167" i="5"/>
  <c r="G167" i="5"/>
  <c r="H167" i="5"/>
  <c r="I167" i="5"/>
  <c r="J167" i="5"/>
  <c r="K167" i="5"/>
  <c r="L167" i="5"/>
  <c r="M167" i="5"/>
  <c r="N167" i="5"/>
  <c r="O167" i="5"/>
  <c r="P167" i="5"/>
  <c r="Q167" i="5"/>
  <c r="R167" i="5"/>
  <c r="S167" i="5"/>
  <c r="B168" i="5"/>
  <c r="C168" i="5"/>
  <c r="D168" i="5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R168" i="5"/>
  <c r="S168" i="5"/>
  <c r="B169" i="5"/>
  <c r="C169" i="5"/>
  <c r="D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R169" i="5"/>
  <c r="S169" i="5"/>
  <c r="B170" i="5"/>
  <c r="C170" i="5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R170" i="5"/>
  <c r="S170" i="5"/>
  <c r="B171" i="5"/>
  <c r="C171" i="5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R171" i="5"/>
  <c r="S171" i="5"/>
  <c r="B172" i="5"/>
  <c r="C172" i="5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R172" i="5"/>
  <c r="S172" i="5"/>
  <c r="B173" i="5"/>
  <c r="C173" i="5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R173" i="5"/>
  <c r="S173" i="5"/>
  <c r="B174" i="5"/>
  <c r="C174" i="5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R174" i="5"/>
  <c r="S174" i="5"/>
  <c r="B175" i="5"/>
  <c r="C175" i="5"/>
  <c r="D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R175" i="5"/>
  <c r="S175" i="5"/>
  <c r="B176" i="5"/>
  <c r="C176" i="5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R176" i="5"/>
  <c r="S176" i="5"/>
  <c r="B177" i="5"/>
  <c r="C177" i="5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R177" i="5"/>
  <c r="S177" i="5"/>
  <c r="B178" i="5"/>
  <c r="C178" i="5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R178" i="5"/>
  <c r="S178" i="5"/>
  <c r="B179" i="5"/>
  <c r="C179" i="5"/>
  <c r="D179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Q179" i="5"/>
  <c r="R179" i="5"/>
  <c r="S179" i="5"/>
  <c r="B180" i="5"/>
  <c r="C180" i="5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R180" i="5"/>
  <c r="S180" i="5"/>
  <c r="B181" i="5"/>
  <c r="C181" i="5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R181" i="5"/>
  <c r="S181" i="5"/>
  <c r="B182" i="5"/>
  <c r="C182" i="5"/>
  <c r="D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R182" i="5"/>
  <c r="S182" i="5"/>
  <c r="B183" i="5"/>
  <c r="C183" i="5"/>
  <c r="D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R183" i="5"/>
  <c r="S183" i="5"/>
  <c r="B184" i="5"/>
  <c r="C184" i="5"/>
  <c r="D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R184" i="5"/>
  <c r="S184" i="5"/>
  <c r="B185" i="5"/>
  <c r="C185" i="5"/>
  <c r="D185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Q185" i="5"/>
  <c r="R185" i="5"/>
  <c r="S185" i="5"/>
  <c r="B186" i="5"/>
  <c r="C186" i="5"/>
  <c r="D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R186" i="5"/>
  <c r="S186" i="5"/>
  <c r="B187" i="5"/>
  <c r="C187" i="5"/>
  <c r="D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R187" i="5"/>
  <c r="S187" i="5"/>
  <c r="B188" i="5"/>
  <c r="C188" i="5"/>
  <c r="D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R188" i="5"/>
  <c r="S188" i="5"/>
  <c r="B189" i="5"/>
  <c r="C189" i="5"/>
  <c r="D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R189" i="5"/>
  <c r="S189" i="5"/>
  <c r="B190" i="5"/>
  <c r="C190" i="5"/>
  <c r="D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R190" i="5"/>
  <c r="S190" i="5"/>
  <c r="B191" i="5"/>
  <c r="C191" i="5"/>
  <c r="D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R191" i="5"/>
  <c r="S191" i="5"/>
  <c r="B192" i="5"/>
  <c r="C192" i="5"/>
  <c r="D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R192" i="5"/>
  <c r="S192" i="5"/>
  <c r="B193" i="5"/>
  <c r="C193" i="5"/>
  <c r="D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R193" i="5"/>
  <c r="S193" i="5"/>
  <c r="B194" i="5"/>
  <c r="C194" i="5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R194" i="5"/>
  <c r="S194" i="5"/>
  <c r="B195" i="5"/>
  <c r="C195" i="5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R195" i="5"/>
  <c r="S195" i="5"/>
  <c r="B196" i="5"/>
  <c r="C196" i="5"/>
  <c r="D196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Q196" i="5"/>
  <c r="R196" i="5"/>
  <c r="S196" i="5"/>
  <c r="B197" i="5"/>
  <c r="C197" i="5"/>
  <c r="D197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Q197" i="5"/>
  <c r="R197" i="5"/>
  <c r="S197" i="5"/>
  <c r="B198" i="5"/>
  <c r="C198" i="5"/>
  <c r="D198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Q198" i="5"/>
  <c r="R198" i="5"/>
  <c r="S198" i="5"/>
  <c r="B199" i="5"/>
  <c r="C199" i="5"/>
  <c r="D199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R199" i="5"/>
  <c r="S199" i="5"/>
  <c r="B200" i="5"/>
  <c r="C200" i="5"/>
  <c r="D200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Q200" i="5"/>
  <c r="R200" i="5"/>
  <c r="S200" i="5"/>
  <c r="B201" i="5"/>
  <c r="C201" i="5"/>
  <c r="D201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Q201" i="5"/>
  <c r="R201" i="5"/>
  <c r="S201" i="5"/>
  <c r="B202" i="5"/>
  <c r="C202" i="5"/>
  <c r="D202" i="5"/>
  <c r="E202" i="5"/>
  <c r="F202" i="5"/>
  <c r="G202" i="5"/>
  <c r="H202" i="5"/>
  <c r="I202" i="5"/>
  <c r="J202" i="5"/>
  <c r="K202" i="5"/>
  <c r="L202" i="5"/>
  <c r="M202" i="5"/>
  <c r="N202" i="5"/>
  <c r="O202" i="5"/>
  <c r="P202" i="5"/>
  <c r="Q202" i="5"/>
  <c r="R202" i="5"/>
  <c r="S202" i="5"/>
  <c r="B203" i="5"/>
  <c r="C203" i="5"/>
  <c r="D203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Q203" i="5"/>
  <c r="R203" i="5"/>
  <c r="S203" i="5"/>
  <c r="B204" i="5"/>
  <c r="C204" i="5"/>
  <c r="D204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Q204" i="5"/>
  <c r="R204" i="5"/>
  <c r="S204" i="5"/>
  <c r="B205" i="5"/>
  <c r="C205" i="5"/>
  <c r="D205" i="5"/>
  <c r="E205" i="5"/>
  <c r="F205" i="5"/>
  <c r="G205" i="5"/>
  <c r="H205" i="5"/>
  <c r="I205" i="5"/>
  <c r="J205" i="5"/>
  <c r="K205" i="5"/>
  <c r="L205" i="5"/>
  <c r="M205" i="5"/>
  <c r="N205" i="5"/>
  <c r="O205" i="5"/>
  <c r="P205" i="5"/>
  <c r="Q205" i="5"/>
  <c r="R205" i="5"/>
  <c r="S205" i="5"/>
  <c r="B206" i="5"/>
  <c r="C206" i="5"/>
  <c r="D206" i="5"/>
  <c r="E206" i="5"/>
  <c r="F206" i="5"/>
  <c r="G206" i="5"/>
  <c r="H206" i="5"/>
  <c r="I206" i="5"/>
  <c r="J206" i="5"/>
  <c r="K206" i="5"/>
  <c r="L206" i="5"/>
  <c r="M206" i="5"/>
  <c r="N206" i="5"/>
  <c r="O206" i="5"/>
  <c r="P206" i="5"/>
  <c r="Q206" i="5"/>
  <c r="R206" i="5"/>
  <c r="S206" i="5"/>
  <c r="B207" i="5"/>
  <c r="C207" i="5"/>
  <c r="D207" i="5"/>
  <c r="E207" i="5"/>
  <c r="F207" i="5"/>
  <c r="G207" i="5"/>
  <c r="H207" i="5"/>
  <c r="I207" i="5"/>
  <c r="J207" i="5"/>
  <c r="K207" i="5"/>
  <c r="L207" i="5"/>
  <c r="M207" i="5"/>
  <c r="N207" i="5"/>
  <c r="O207" i="5"/>
  <c r="P207" i="5"/>
  <c r="Q207" i="5"/>
  <c r="R207" i="5"/>
  <c r="S207" i="5"/>
  <c r="B208" i="5"/>
  <c r="C208" i="5"/>
  <c r="D208" i="5"/>
  <c r="E208" i="5"/>
  <c r="F208" i="5"/>
  <c r="G208" i="5"/>
  <c r="H208" i="5"/>
  <c r="I208" i="5"/>
  <c r="J208" i="5"/>
  <c r="K208" i="5"/>
  <c r="L208" i="5"/>
  <c r="M208" i="5"/>
  <c r="N208" i="5"/>
  <c r="O208" i="5"/>
  <c r="P208" i="5"/>
  <c r="Q208" i="5"/>
  <c r="R208" i="5"/>
  <c r="S208" i="5"/>
  <c r="B209" i="5"/>
  <c r="C209" i="5"/>
  <c r="D209" i="5"/>
  <c r="E209" i="5"/>
  <c r="F209" i="5"/>
  <c r="G209" i="5"/>
  <c r="H209" i="5"/>
  <c r="I209" i="5"/>
  <c r="J209" i="5"/>
  <c r="K209" i="5"/>
  <c r="L209" i="5"/>
  <c r="M209" i="5"/>
  <c r="N209" i="5"/>
  <c r="O209" i="5"/>
  <c r="P209" i="5"/>
  <c r="Q209" i="5"/>
  <c r="R209" i="5"/>
  <c r="S209" i="5"/>
  <c r="B210" i="5"/>
  <c r="C210" i="5"/>
  <c r="D210" i="5"/>
  <c r="E210" i="5"/>
  <c r="F210" i="5"/>
  <c r="G210" i="5"/>
  <c r="H210" i="5"/>
  <c r="I210" i="5"/>
  <c r="J210" i="5"/>
  <c r="K210" i="5"/>
  <c r="L210" i="5"/>
  <c r="M210" i="5"/>
  <c r="N210" i="5"/>
  <c r="O210" i="5"/>
  <c r="P210" i="5"/>
  <c r="Q210" i="5"/>
  <c r="R210" i="5"/>
  <c r="S210" i="5"/>
  <c r="B211" i="5"/>
  <c r="C211" i="5"/>
  <c r="D211" i="5"/>
  <c r="E211" i="5"/>
  <c r="F211" i="5"/>
  <c r="G211" i="5"/>
  <c r="H211" i="5"/>
  <c r="I211" i="5"/>
  <c r="J211" i="5"/>
  <c r="K211" i="5"/>
  <c r="L211" i="5"/>
  <c r="M211" i="5"/>
  <c r="N211" i="5"/>
  <c r="O211" i="5"/>
  <c r="P211" i="5"/>
  <c r="Q211" i="5"/>
  <c r="R211" i="5"/>
  <c r="S211" i="5"/>
  <c r="B212" i="5"/>
  <c r="C212" i="5"/>
  <c r="D212" i="5"/>
  <c r="E212" i="5"/>
  <c r="F212" i="5"/>
  <c r="G212" i="5"/>
  <c r="H212" i="5"/>
  <c r="I212" i="5"/>
  <c r="J212" i="5"/>
  <c r="K212" i="5"/>
  <c r="L212" i="5"/>
  <c r="M212" i="5"/>
  <c r="N212" i="5"/>
  <c r="O212" i="5"/>
  <c r="P212" i="5"/>
  <c r="Q212" i="5"/>
  <c r="R212" i="5"/>
  <c r="S212" i="5"/>
  <c r="B213" i="5"/>
  <c r="C213" i="5"/>
  <c r="D213" i="5"/>
  <c r="E213" i="5"/>
  <c r="F213" i="5"/>
  <c r="G213" i="5"/>
  <c r="H213" i="5"/>
  <c r="I213" i="5"/>
  <c r="J213" i="5"/>
  <c r="K213" i="5"/>
  <c r="L213" i="5"/>
  <c r="M213" i="5"/>
  <c r="N213" i="5"/>
  <c r="O213" i="5"/>
  <c r="P213" i="5"/>
  <c r="Q213" i="5"/>
  <c r="R213" i="5"/>
  <c r="S213" i="5"/>
  <c r="B214" i="5"/>
  <c r="C214" i="5"/>
  <c r="D214" i="5"/>
  <c r="E214" i="5"/>
  <c r="F214" i="5"/>
  <c r="G214" i="5"/>
  <c r="H214" i="5"/>
  <c r="I214" i="5"/>
  <c r="J214" i="5"/>
  <c r="K214" i="5"/>
  <c r="L214" i="5"/>
  <c r="M214" i="5"/>
  <c r="N214" i="5"/>
  <c r="O214" i="5"/>
  <c r="P214" i="5"/>
  <c r="Q214" i="5"/>
  <c r="R214" i="5"/>
  <c r="S214" i="5"/>
  <c r="B215" i="5"/>
  <c r="C215" i="5"/>
  <c r="D215" i="5"/>
  <c r="E215" i="5"/>
  <c r="F215" i="5"/>
  <c r="G215" i="5"/>
  <c r="H215" i="5"/>
  <c r="I215" i="5"/>
  <c r="J215" i="5"/>
  <c r="K215" i="5"/>
  <c r="L215" i="5"/>
  <c r="M215" i="5"/>
  <c r="N215" i="5"/>
  <c r="O215" i="5"/>
  <c r="P215" i="5"/>
  <c r="Q215" i="5"/>
  <c r="R215" i="5"/>
  <c r="S215" i="5"/>
  <c r="B216" i="5"/>
  <c r="C216" i="5"/>
  <c r="D216" i="5"/>
  <c r="E216" i="5"/>
  <c r="F216" i="5"/>
  <c r="G216" i="5"/>
  <c r="H216" i="5"/>
  <c r="I216" i="5"/>
  <c r="J216" i="5"/>
  <c r="K216" i="5"/>
  <c r="L216" i="5"/>
  <c r="M216" i="5"/>
  <c r="N216" i="5"/>
  <c r="O216" i="5"/>
  <c r="P216" i="5"/>
  <c r="Q216" i="5"/>
  <c r="R216" i="5"/>
  <c r="S216" i="5"/>
  <c r="B217" i="5"/>
  <c r="C217" i="5"/>
  <c r="D217" i="5"/>
  <c r="E217" i="5"/>
  <c r="F217" i="5"/>
  <c r="G217" i="5"/>
  <c r="H217" i="5"/>
  <c r="I217" i="5"/>
  <c r="J217" i="5"/>
  <c r="K217" i="5"/>
  <c r="L217" i="5"/>
  <c r="M217" i="5"/>
  <c r="N217" i="5"/>
  <c r="O217" i="5"/>
  <c r="P217" i="5"/>
  <c r="Q217" i="5"/>
  <c r="R217" i="5"/>
  <c r="S217" i="5"/>
  <c r="B218" i="5"/>
  <c r="C218" i="5"/>
  <c r="D218" i="5"/>
  <c r="E218" i="5"/>
  <c r="F218" i="5"/>
  <c r="G218" i="5"/>
  <c r="H218" i="5"/>
  <c r="I218" i="5"/>
  <c r="J218" i="5"/>
  <c r="K218" i="5"/>
  <c r="L218" i="5"/>
  <c r="M218" i="5"/>
  <c r="N218" i="5"/>
  <c r="O218" i="5"/>
  <c r="P218" i="5"/>
  <c r="Q218" i="5"/>
  <c r="R218" i="5"/>
  <c r="S218" i="5"/>
  <c r="B219" i="5"/>
  <c r="C219" i="5"/>
  <c r="D219" i="5"/>
  <c r="E219" i="5"/>
  <c r="F219" i="5"/>
  <c r="G219" i="5"/>
  <c r="H219" i="5"/>
  <c r="I219" i="5"/>
  <c r="J219" i="5"/>
  <c r="K219" i="5"/>
  <c r="L219" i="5"/>
  <c r="M219" i="5"/>
  <c r="N219" i="5"/>
  <c r="O219" i="5"/>
  <c r="P219" i="5"/>
  <c r="Q219" i="5"/>
  <c r="R219" i="5"/>
  <c r="S219" i="5"/>
  <c r="B220" i="5"/>
  <c r="C220" i="5"/>
  <c r="D220" i="5"/>
  <c r="E220" i="5"/>
  <c r="F220" i="5"/>
  <c r="G220" i="5"/>
  <c r="H220" i="5"/>
  <c r="I220" i="5"/>
  <c r="J220" i="5"/>
  <c r="K220" i="5"/>
  <c r="L220" i="5"/>
  <c r="M220" i="5"/>
  <c r="N220" i="5"/>
  <c r="O220" i="5"/>
  <c r="P220" i="5"/>
  <c r="Q220" i="5"/>
  <c r="R220" i="5"/>
  <c r="S220" i="5"/>
  <c r="B221" i="5"/>
  <c r="C221" i="5"/>
  <c r="D221" i="5"/>
  <c r="E221" i="5"/>
  <c r="F221" i="5"/>
  <c r="G221" i="5"/>
  <c r="H221" i="5"/>
  <c r="I221" i="5"/>
  <c r="J221" i="5"/>
  <c r="K221" i="5"/>
  <c r="L221" i="5"/>
  <c r="M221" i="5"/>
  <c r="N221" i="5"/>
  <c r="O221" i="5"/>
  <c r="P221" i="5"/>
  <c r="Q221" i="5"/>
  <c r="R221" i="5"/>
  <c r="S221" i="5"/>
  <c r="B222" i="5"/>
  <c r="C222" i="5"/>
  <c r="D222" i="5"/>
  <c r="E222" i="5"/>
  <c r="F222" i="5"/>
  <c r="G222" i="5"/>
  <c r="H222" i="5"/>
  <c r="I222" i="5"/>
  <c r="J222" i="5"/>
  <c r="K222" i="5"/>
  <c r="L222" i="5"/>
  <c r="M222" i="5"/>
  <c r="N222" i="5"/>
  <c r="O222" i="5"/>
  <c r="P222" i="5"/>
  <c r="Q222" i="5"/>
  <c r="R222" i="5"/>
  <c r="S222" i="5"/>
  <c r="B223" i="5"/>
  <c r="C223" i="5"/>
  <c r="D223" i="5"/>
  <c r="E223" i="5"/>
  <c r="F223" i="5"/>
  <c r="G223" i="5"/>
  <c r="H223" i="5"/>
  <c r="I223" i="5"/>
  <c r="J223" i="5"/>
  <c r="K223" i="5"/>
  <c r="L223" i="5"/>
  <c r="M223" i="5"/>
  <c r="N223" i="5"/>
  <c r="O223" i="5"/>
  <c r="P223" i="5"/>
  <c r="Q223" i="5"/>
  <c r="R223" i="5"/>
  <c r="S223" i="5"/>
  <c r="B224" i="5"/>
  <c r="C224" i="5"/>
  <c r="D224" i="5"/>
  <c r="E224" i="5"/>
  <c r="F224" i="5"/>
  <c r="G224" i="5"/>
  <c r="H224" i="5"/>
  <c r="I224" i="5"/>
  <c r="J224" i="5"/>
  <c r="K224" i="5"/>
  <c r="L224" i="5"/>
  <c r="M224" i="5"/>
  <c r="N224" i="5"/>
  <c r="O224" i="5"/>
  <c r="P224" i="5"/>
  <c r="Q224" i="5"/>
  <c r="R224" i="5"/>
  <c r="S224" i="5"/>
  <c r="B225" i="5"/>
  <c r="C225" i="5"/>
  <c r="D225" i="5"/>
  <c r="E225" i="5"/>
  <c r="F225" i="5"/>
  <c r="G225" i="5"/>
  <c r="H225" i="5"/>
  <c r="I225" i="5"/>
  <c r="J225" i="5"/>
  <c r="K225" i="5"/>
  <c r="L225" i="5"/>
  <c r="M225" i="5"/>
  <c r="N225" i="5"/>
  <c r="O225" i="5"/>
  <c r="P225" i="5"/>
  <c r="Q225" i="5"/>
  <c r="R225" i="5"/>
  <c r="S225" i="5"/>
  <c r="B226" i="5"/>
  <c r="C226" i="5"/>
  <c r="D226" i="5"/>
  <c r="E226" i="5"/>
  <c r="F226" i="5"/>
  <c r="G226" i="5"/>
  <c r="H226" i="5"/>
  <c r="I226" i="5"/>
  <c r="J226" i="5"/>
  <c r="K226" i="5"/>
  <c r="L226" i="5"/>
  <c r="M226" i="5"/>
  <c r="N226" i="5"/>
  <c r="O226" i="5"/>
  <c r="P226" i="5"/>
  <c r="Q226" i="5"/>
  <c r="R226" i="5"/>
  <c r="S226" i="5"/>
  <c r="B227" i="5"/>
  <c r="C227" i="5"/>
  <c r="D227" i="5"/>
  <c r="E227" i="5"/>
  <c r="F227" i="5"/>
  <c r="G227" i="5"/>
  <c r="H227" i="5"/>
  <c r="I227" i="5"/>
  <c r="J227" i="5"/>
  <c r="K227" i="5"/>
  <c r="L227" i="5"/>
  <c r="M227" i="5"/>
  <c r="N227" i="5"/>
  <c r="O227" i="5"/>
  <c r="P227" i="5"/>
  <c r="Q227" i="5"/>
  <c r="R227" i="5"/>
  <c r="S227" i="5"/>
  <c r="B228" i="5"/>
  <c r="C228" i="5"/>
  <c r="D228" i="5"/>
  <c r="E228" i="5"/>
  <c r="F228" i="5"/>
  <c r="G228" i="5"/>
  <c r="H228" i="5"/>
  <c r="I228" i="5"/>
  <c r="J228" i="5"/>
  <c r="K228" i="5"/>
  <c r="L228" i="5"/>
  <c r="M228" i="5"/>
  <c r="N228" i="5"/>
  <c r="O228" i="5"/>
  <c r="P228" i="5"/>
  <c r="Q228" i="5"/>
  <c r="R228" i="5"/>
  <c r="S228" i="5"/>
  <c r="B229" i="5"/>
  <c r="C229" i="5"/>
  <c r="D229" i="5"/>
  <c r="E229" i="5"/>
  <c r="F229" i="5"/>
  <c r="G229" i="5"/>
  <c r="H229" i="5"/>
  <c r="I229" i="5"/>
  <c r="J229" i="5"/>
  <c r="K229" i="5"/>
  <c r="L229" i="5"/>
  <c r="M229" i="5"/>
  <c r="N229" i="5"/>
  <c r="O229" i="5"/>
  <c r="P229" i="5"/>
  <c r="Q229" i="5"/>
  <c r="R229" i="5"/>
  <c r="S229" i="5"/>
  <c r="B230" i="5"/>
  <c r="C230" i="5"/>
  <c r="D230" i="5"/>
  <c r="E230" i="5"/>
  <c r="F230" i="5"/>
  <c r="G230" i="5"/>
  <c r="H230" i="5"/>
  <c r="I230" i="5"/>
  <c r="J230" i="5"/>
  <c r="K230" i="5"/>
  <c r="L230" i="5"/>
  <c r="M230" i="5"/>
  <c r="N230" i="5"/>
  <c r="O230" i="5"/>
  <c r="P230" i="5"/>
  <c r="Q230" i="5"/>
  <c r="R230" i="5"/>
  <c r="S230" i="5"/>
  <c r="B231" i="5"/>
  <c r="C231" i="5"/>
  <c r="D231" i="5"/>
  <c r="E231" i="5"/>
  <c r="F231" i="5"/>
  <c r="G231" i="5"/>
  <c r="H231" i="5"/>
  <c r="I231" i="5"/>
  <c r="J231" i="5"/>
  <c r="K231" i="5"/>
  <c r="L231" i="5"/>
  <c r="M231" i="5"/>
  <c r="N231" i="5"/>
  <c r="O231" i="5"/>
  <c r="P231" i="5"/>
  <c r="Q231" i="5"/>
  <c r="R231" i="5"/>
  <c r="S231" i="5"/>
  <c r="B232" i="5"/>
  <c r="C232" i="5"/>
  <c r="D232" i="5"/>
  <c r="E232" i="5"/>
  <c r="F232" i="5"/>
  <c r="G232" i="5"/>
  <c r="H232" i="5"/>
  <c r="I232" i="5"/>
  <c r="J232" i="5"/>
  <c r="K232" i="5"/>
  <c r="L232" i="5"/>
  <c r="M232" i="5"/>
  <c r="N232" i="5"/>
  <c r="O232" i="5"/>
  <c r="P232" i="5"/>
  <c r="Q232" i="5"/>
  <c r="R232" i="5"/>
  <c r="S232" i="5"/>
  <c r="B233" i="5"/>
  <c r="C233" i="5"/>
  <c r="D233" i="5"/>
  <c r="E233" i="5"/>
  <c r="F233" i="5"/>
  <c r="G233" i="5"/>
  <c r="H233" i="5"/>
  <c r="I233" i="5"/>
  <c r="J233" i="5"/>
  <c r="K233" i="5"/>
  <c r="L233" i="5"/>
  <c r="M233" i="5"/>
  <c r="N233" i="5"/>
  <c r="O233" i="5"/>
  <c r="P233" i="5"/>
  <c r="Q233" i="5"/>
  <c r="R233" i="5"/>
  <c r="S233" i="5"/>
  <c r="B234" i="5"/>
  <c r="C234" i="5"/>
  <c r="D234" i="5"/>
  <c r="E234" i="5"/>
  <c r="F234" i="5"/>
  <c r="G234" i="5"/>
  <c r="H234" i="5"/>
  <c r="I234" i="5"/>
  <c r="J234" i="5"/>
  <c r="K234" i="5"/>
  <c r="L234" i="5"/>
  <c r="M234" i="5"/>
  <c r="N234" i="5"/>
  <c r="O234" i="5"/>
  <c r="P234" i="5"/>
  <c r="Q234" i="5"/>
  <c r="R234" i="5"/>
  <c r="S234" i="5"/>
  <c r="B235" i="5"/>
  <c r="C235" i="5"/>
  <c r="D235" i="5"/>
  <c r="E235" i="5"/>
  <c r="F235" i="5"/>
  <c r="G235" i="5"/>
  <c r="H235" i="5"/>
  <c r="I235" i="5"/>
  <c r="J235" i="5"/>
  <c r="K235" i="5"/>
  <c r="L235" i="5"/>
  <c r="M235" i="5"/>
  <c r="N235" i="5"/>
  <c r="O235" i="5"/>
  <c r="P235" i="5"/>
  <c r="Q235" i="5"/>
  <c r="R235" i="5"/>
  <c r="S235" i="5"/>
  <c r="B236" i="5"/>
  <c r="C236" i="5"/>
  <c r="D236" i="5"/>
  <c r="E236" i="5"/>
  <c r="F236" i="5"/>
  <c r="G236" i="5"/>
  <c r="H236" i="5"/>
  <c r="I236" i="5"/>
  <c r="J236" i="5"/>
  <c r="K236" i="5"/>
  <c r="L236" i="5"/>
  <c r="M236" i="5"/>
  <c r="N236" i="5"/>
  <c r="O236" i="5"/>
  <c r="P236" i="5"/>
  <c r="Q236" i="5"/>
  <c r="R236" i="5"/>
  <c r="S236" i="5"/>
  <c r="B237" i="5"/>
  <c r="C237" i="5"/>
  <c r="D237" i="5"/>
  <c r="E237" i="5"/>
  <c r="F237" i="5"/>
  <c r="G237" i="5"/>
  <c r="H237" i="5"/>
  <c r="I237" i="5"/>
  <c r="J237" i="5"/>
  <c r="K237" i="5"/>
  <c r="L237" i="5"/>
  <c r="M237" i="5"/>
  <c r="N237" i="5"/>
  <c r="O237" i="5"/>
  <c r="P237" i="5"/>
  <c r="Q237" i="5"/>
  <c r="R237" i="5"/>
  <c r="S237" i="5"/>
  <c r="B238" i="5"/>
  <c r="C238" i="5"/>
  <c r="D238" i="5"/>
  <c r="E238" i="5"/>
  <c r="F238" i="5"/>
  <c r="G238" i="5"/>
  <c r="H238" i="5"/>
  <c r="I238" i="5"/>
  <c r="J238" i="5"/>
  <c r="K238" i="5"/>
  <c r="L238" i="5"/>
  <c r="M238" i="5"/>
  <c r="N238" i="5"/>
  <c r="O238" i="5"/>
  <c r="P238" i="5"/>
  <c r="Q238" i="5"/>
  <c r="R238" i="5"/>
  <c r="S238" i="5"/>
  <c r="B239" i="5"/>
  <c r="C239" i="5"/>
  <c r="D239" i="5"/>
  <c r="E239" i="5"/>
  <c r="F239" i="5"/>
  <c r="G239" i="5"/>
  <c r="H239" i="5"/>
  <c r="I239" i="5"/>
  <c r="J239" i="5"/>
  <c r="K239" i="5"/>
  <c r="L239" i="5"/>
  <c r="M239" i="5"/>
  <c r="N239" i="5"/>
  <c r="O239" i="5"/>
  <c r="P239" i="5"/>
  <c r="Q239" i="5"/>
  <c r="R239" i="5"/>
  <c r="S239" i="5"/>
  <c r="B240" i="5"/>
  <c r="C240" i="5"/>
  <c r="D240" i="5"/>
  <c r="E240" i="5"/>
  <c r="F240" i="5"/>
  <c r="G240" i="5"/>
  <c r="H240" i="5"/>
  <c r="I240" i="5"/>
  <c r="J240" i="5"/>
  <c r="K240" i="5"/>
  <c r="L240" i="5"/>
  <c r="M240" i="5"/>
  <c r="N240" i="5"/>
  <c r="O240" i="5"/>
  <c r="P240" i="5"/>
  <c r="Q240" i="5"/>
  <c r="R240" i="5"/>
  <c r="S240" i="5"/>
  <c r="B241" i="5"/>
  <c r="C241" i="5"/>
  <c r="D241" i="5"/>
  <c r="E241" i="5"/>
  <c r="F241" i="5"/>
  <c r="G241" i="5"/>
  <c r="H241" i="5"/>
  <c r="I241" i="5"/>
  <c r="J241" i="5"/>
  <c r="K241" i="5"/>
  <c r="L241" i="5"/>
  <c r="M241" i="5"/>
  <c r="N241" i="5"/>
  <c r="O241" i="5"/>
  <c r="P241" i="5"/>
  <c r="Q241" i="5"/>
  <c r="R241" i="5"/>
  <c r="S241" i="5"/>
  <c r="B242" i="5"/>
  <c r="C242" i="5"/>
  <c r="D242" i="5"/>
  <c r="E242" i="5"/>
  <c r="F242" i="5"/>
  <c r="G242" i="5"/>
  <c r="H242" i="5"/>
  <c r="I242" i="5"/>
  <c r="J242" i="5"/>
  <c r="K242" i="5"/>
  <c r="L242" i="5"/>
  <c r="M242" i="5"/>
  <c r="N242" i="5"/>
  <c r="O242" i="5"/>
  <c r="P242" i="5"/>
  <c r="Q242" i="5"/>
  <c r="R242" i="5"/>
  <c r="S242" i="5"/>
  <c r="B243" i="5"/>
  <c r="C243" i="5"/>
  <c r="D243" i="5"/>
  <c r="E243" i="5"/>
  <c r="F243" i="5"/>
  <c r="G243" i="5"/>
  <c r="H243" i="5"/>
  <c r="I243" i="5"/>
  <c r="J243" i="5"/>
  <c r="K243" i="5"/>
  <c r="L243" i="5"/>
  <c r="M243" i="5"/>
  <c r="N243" i="5"/>
  <c r="O243" i="5"/>
  <c r="P243" i="5"/>
  <c r="Q243" i="5"/>
  <c r="R243" i="5"/>
  <c r="S243" i="5"/>
  <c r="B244" i="5"/>
  <c r="C244" i="5"/>
  <c r="D244" i="5"/>
  <c r="E244" i="5"/>
  <c r="F244" i="5"/>
  <c r="G244" i="5"/>
  <c r="H244" i="5"/>
  <c r="I244" i="5"/>
  <c r="J244" i="5"/>
  <c r="K244" i="5"/>
  <c r="L244" i="5"/>
  <c r="M244" i="5"/>
  <c r="N244" i="5"/>
  <c r="O244" i="5"/>
  <c r="P244" i="5"/>
  <c r="Q244" i="5"/>
  <c r="R244" i="5"/>
  <c r="S244" i="5"/>
  <c r="B245" i="5"/>
  <c r="C245" i="5"/>
  <c r="D245" i="5"/>
  <c r="E245" i="5"/>
  <c r="F245" i="5"/>
  <c r="G245" i="5"/>
  <c r="H245" i="5"/>
  <c r="I245" i="5"/>
  <c r="J245" i="5"/>
  <c r="K245" i="5"/>
  <c r="L245" i="5"/>
  <c r="M245" i="5"/>
  <c r="N245" i="5"/>
  <c r="O245" i="5"/>
  <c r="P245" i="5"/>
  <c r="Q245" i="5"/>
  <c r="R245" i="5"/>
  <c r="S245" i="5"/>
  <c r="B246" i="5"/>
  <c r="C246" i="5"/>
  <c r="D246" i="5"/>
  <c r="E246" i="5"/>
  <c r="F246" i="5"/>
  <c r="G246" i="5"/>
  <c r="H246" i="5"/>
  <c r="I246" i="5"/>
  <c r="J246" i="5"/>
  <c r="K246" i="5"/>
  <c r="L246" i="5"/>
  <c r="M246" i="5"/>
  <c r="N246" i="5"/>
  <c r="O246" i="5"/>
  <c r="P246" i="5"/>
  <c r="Q246" i="5"/>
  <c r="R246" i="5"/>
  <c r="S246" i="5"/>
  <c r="B247" i="5"/>
  <c r="C247" i="5"/>
  <c r="D247" i="5"/>
  <c r="E247" i="5"/>
  <c r="F247" i="5"/>
  <c r="G247" i="5"/>
  <c r="H247" i="5"/>
  <c r="I247" i="5"/>
  <c r="J247" i="5"/>
  <c r="K247" i="5"/>
  <c r="L247" i="5"/>
  <c r="M247" i="5"/>
  <c r="N247" i="5"/>
  <c r="O247" i="5"/>
  <c r="P247" i="5"/>
  <c r="Q247" i="5"/>
  <c r="R247" i="5"/>
  <c r="S247" i="5"/>
  <c r="B248" i="5"/>
  <c r="C248" i="5"/>
  <c r="D248" i="5"/>
  <c r="E248" i="5"/>
  <c r="F248" i="5"/>
  <c r="G248" i="5"/>
  <c r="H248" i="5"/>
  <c r="I248" i="5"/>
  <c r="J248" i="5"/>
  <c r="K248" i="5"/>
  <c r="L248" i="5"/>
  <c r="M248" i="5"/>
  <c r="N248" i="5"/>
  <c r="O248" i="5"/>
  <c r="P248" i="5"/>
  <c r="Q248" i="5"/>
  <c r="R248" i="5"/>
  <c r="S248" i="5"/>
  <c r="B249" i="5"/>
  <c r="C249" i="5"/>
  <c r="D249" i="5"/>
  <c r="E249" i="5"/>
  <c r="F249" i="5"/>
  <c r="G249" i="5"/>
  <c r="H249" i="5"/>
  <c r="I249" i="5"/>
  <c r="J249" i="5"/>
  <c r="K249" i="5"/>
  <c r="L249" i="5"/>
  <c r="M249" i="5"/>
  <c r="N249" i="5"/>
  <c r="O249" i="5"/>
  <c r="P249" i="5"/>
  <c r="Q249" i="5"/>
  <c r="R249" i="5"/>
  <c r="S249" i="5"/>
  <c r="B250" i="5"/>
  <c r="C250" i="5"/>
  <c r="D250" i="5"/>
  <c r="E250" i="5"/>
  <c r="F250" i="5"/>
  <c r="G250" i="5"/>
  <c r="H250" i="5"/>
  <c r="I250" i="5"/>
  <c r="J250" i="5"/>
  <c r="K250" i="5"/>
  <c r="L250" i="5"/>
  <c r="M250" i="5"/>
  <c r="N250" i="5"/>
  <c r="O250" i="5"/>
  <c r="P250" i="5"/>
  <c r="Q250" i="5"/>
  <c r="R250" i="5"/>
  <c r="S250" i="5"/>
  <c r="B251" i="5"/>
  <c r="C251" i="5"/>
  <c r="D251" i="5"/>
  <c r="E251" i="5"/>
  <c r="F251" i="5"/>
  <c r="G251" i="5"/>
  <c r="H251" i="5"/>
  <c r="I251" i="5"/>
  <c r="J251" i="5"/>
  <c r="K251" i="5"/>
  <c r="L251" i="5"/>
  <c r="M251" i="5"/>
  <c r="N251" i="5"/>
  <c r="O251" i="5"/>
  <c r="P251" i="5"/>
  <c r="Q251" i="5"/>
  <c r="R251" i="5"/>
  <c r="S251" i="5"/>
  <c r="B252" i="5"/>
  <c r="C252" i="5"/>
  <c r="D252" i="5"/>
  <c r="E252" i="5"/>
  <c r="F252" i="5"/>
  <c r="G252" i="5"/>
  <c r="H252" i="5"/>
  <c r="I252" i="5"/>
  <c r="J252" i="5"/>
  <c r="K252" i="5"/>
  <c r="L252" i="5"/>
  <c r="M252" i="5"/>
  <c r="N252" i="5"/>
  <c r="O252" i="5"/>
  <c r="P252" i="5"/>
  <c r="Q252" i="5"/>
  <c r="R252" i="5"/>
  <c r="S252" i="5"/>
  <c r="B253" i="5"/>
  <c r="C253" i="5"/>
  <c r="D253" i="5"/>
  <c r="E253" i="5"/>
  <c r="F253" i="5"/>
  <c r="G253" i="5"/>
  <c r="H253" i="5"/>
  <c r="I253" i="5"/>
  <c r="J253" i="5"/>
  <c r="K253" i="5"/>
  <c r="L253" i="5"/>
  <c r="M253" i="5"/>
  <c r="N253" i="5"/>
  <c r="O253" i="5"/>
  <c r="P253" i="5"/>
  <c r="Q253" i="5"/>
  <c r="R253" i="5"/>
  <c r="S253" i="5"/>
  <c r="B254" i="5"/>
  <c r="C254" i="5"/>
  <c r="D254" i="5"/>
  <c r="E254" i="5"/>
  <c r="F254" i="5"/>
  <c r="G254" i="5"/>
  <c r="H254" i="5"/>
  <c r="I254" i="5"/>
  <c r="J254" i="5"/>
  <c r="K254" i="5"/>
  <c r="L254" i="5"/>
  <c r="M254" i="5"/>
  <c r="N254" i="5"/>
  <c r="O254" i="5"/>
  <c r="P254" i="5"/>
  <c r="Q254" i="5"/>
  <c r="R254" i="5"/>
  <c r="S254" i="5"/>
  <c r="B255" i="5"/>
  <c r="C255" i="5"/>
  <c r="D255" i="5"/>
  <c r="E255" i="5"/>
  <c r="F255" i="5"/>
  <c r="G255" i="5"/>
  <c r="H255" i="5"/>
  <c r="I255" i="5"/>
  <c r="J255" i="5"/>
  <c r="K255" i="5"/>
  <c r="L255" i="5"/>
  <c r="M255" i="5"/>
  <c r="N255" i="5"/>
  <c r="O255" i="5"/>
  <c r="P255" i="5"/>
  <c r="Q255" i="5"/>
  <c r="R255" i="5"/>
  <c r="S255" i="5"/>
  <c r="B256" i="5"/>
  <c r="C256" i="5"/>
  <c r="D256" i="5"/>
  <c r="E256" i="5"/>
  <c r="F256" i="5"/>
  <c r="G256" i="5"/>
  <c r="H256" i="5"/>
  <c r="I256" i="5"/>
  <c r="J256" i="5"/>
  <c r="K256" i="5"/>
  <c r="L256" i="5"/>
  <c r="M256" i="5"/>
  <c r="N256" i="5"/>
  <c r="O256" i="5"/>
  <c r="P256" i="5"/>
  <c r="Q256" i="5"/>
  <c r="R256" i="5"/>
  <c r="S256" i="5"/>
  <c r="B257" i="5"/>
  <c r="C257" i="5"/>
  <c r="D257" i="5"/>
  <c r="E257" i="5"/>
  <c r="F257" i="5"/>
  <c r="G257" i="5"/>
  <c r="H257" i="5"/>
  <c r="I257" i="5"/>
  <c r="J257" i="5"/>
  <c r="K257" i="5"/>
  <c r="L257" i="5"/>
  <c r="M257" i="5"/>
  <c r="N257" i="5"/>
  <c r="O257" i="5"/>
  <c r="P257" i="5"/>
  <c r="Q257" i="5"/>
  <c r="R257" i="5"/>
  <c r="S257" i="5"/>
  <c r="B258" i="5"/>
  <c r="C258" i="5"/>
  <c r="D258" i="5"/>
  <c r="E258" i="5"/>
  <c r="F258" i="5"/>
  <c r="G258" i="5"/>
  <c r="H258" i="5"/>
  <c r="I258" i="5"/>
  <c r="J258" i="5"/>
  <c r="K258" i="5"/>
  <c r="L258" i="5"/>
  <c r="M258" i="5"/>
  <c r="N258" i="5"/>
  <c r="O258" i="5"/>
  <c r="P258" i="5"/>
  <c r="Q258" i="5"/>
  <c r="R258" i="5"/>
  <c r="S258" i="5"/>
  <c r="B259" i="5"/>
  <c r="C259" i="5"/>
  <c r="D259" i="5"/>
  <c r="E259" i="5"/>
  <c r="F259" i="5"/>
  <c r="G259" i="5"/>
  <c r="H259" i="5"/>
  <c r="I259" i="5"/>
  <c r="J259" i="5"/>
  <c r="K259" i="5"/>
  <c r="L259" i="5"/>
  <c r="M259" i="5"/>
  <c r="N259" i="5"/>
  <c r="O259" i="5"/>
  <c r="P259" i="5"/>
  <c r="Q259" i="5"/>
  <c r="R259" i="5"/>
  <c r="S259" i="5"/>
  <c r="B260" i="5"/>
  <c r="C260" i="5"/>
  <c r="D260" i="5"/>
  <c r="E260" i="5"/>
  <c r="F260" i="5"/>
  <c r="G260" i="5"/>
  <c r="H260" i="5"/>
  <c r="I260" i="5"/>
  <c r="J260" i="5"/>
  <c r="K260" i="5"/>
  <c r="L260" i="5"/>
  <c r="M260" i="5"/>
  <c r="N260" i="5"/>
  <c r="O260" i="5"/>
  <c r="P260" i="5"/>
  <c r="Q260" i="5"/>
  <c r="R260" i="5"/>
  <c r="S260" i="5"/>
  <c r="B261" i="5"/>
  <c r="C261" i="5"/>
  <c r="D261" i="5"/>
  <c r="E261" i="5"/>
  <c r="F261" i="5"/>
  <c r="G261" i="5"/>
  <c r="H261" i="5"/>
  <c r="I261" i="5"/>
  <c r="J261" i="5"/>
  <c r="K261" i="5"/>
  <c r="L261" i="5"/>
  <c r="M261" i="5"/>
  <c r="N261" i="5"/>
  <c r="O261" i="5"/>
  <c r="P261" i="5"/>
  <c r="Q261" i="5"/>
  <c r="R261" i="5"/>
  <c r="S261" i="5"/>
  <c r="B262" i="5"/>
  <c r="C262" i="5"/>
  <c r="D262" i="5"/>
  <c r="E262" i="5"/>
  <c r="F262" i="5"/>
  <c r="G262" i="5"/>
  <c r="H262" i="5"/>
  <c r="I262" i="5"/>
  <c r="J262" i="5"/>
  <c r="K262" i="5"/>
  <c r="L262" i="5"/>
  <c r="M262" i="5"/>
  <c r="N262" i="5"/>
  <c r="O262" i="5"/>
  <c r="P262" i="5"/>
  <c r="Q262" i="5"/>
  <c r="R262" i="5"/>
  <c r="S262" i="5"/>
  <c r="B263" i="5"/>
  <c r="C263" i="5"/>
  <c r="D263" i="5"/>
  <c r="E263" i="5"/>
  <c r="F263" i="5"/>
  <c r="G263" i="5"/>
  <c r="H263" i="5"/>
  <c r="I263" i="5"/>
  <c r="J263" i="5"/>
  <c r="K263" i="5"/>
  <c r="L263" i="5"/>
  <c r="M263" i="5"/>
  <c r="N263" i="5"/>
  <c r="O263" i="5"/>
  <c r="P263" i="5"/>
  <c r="Q263" i="5"/>
  <c r="R263" i="5"/>
  <c r="S263" i="5"/>
  <c r="B264" i="5"/>
  <c r="C264" i="5"/>
  <c r="D264" i="5"/>
  <c r="E264" i="5"/>
  <c r="F264" i="5"/>
  <c r="G264" i="5"/>
  <c r="H264" i="5"/>
  <c r="I264" i="5"/>
  <c r="J264" i="5"/>
  <c r="K264" i="5"/>
  <c r="L264" i="5"/>
  <c r="M264" i="5"/>
  <c r="N264" i="5"/>
  <c r="O264" i="5"/>
  <c r="P264" i="5"/>
  <c r="Q264" i="5"/>
  <c r="R264" i="5"/>
  <c r="S264" i="5"/>
  <c r="B265" i="5"/>
  <c r="C265" i="5"/>
  <c r="D265" i="5"/>
  <c r="E265" i="5"/>
  <c r="F265" i="5"/>
  <c r="G265" i="5"/>
  <c r="H265" i="5"/>
  <c r="I265" i="5"/>
  <c r="J265" i="5"/>
  <c r="K265" i="5"/>
  <c r="L265" i="5"/>
  <c r="M265" i="5"/>
  <c r="N265" i="5"/>
  <c r="O265" i="5"/>
  <c r="P265" i="5"/>
  <c r="Q265" i="5"/>
  <c r="R265" i="5"/>
  <c r="S265" i="5"/>
  <c r="B266" i="5"/>
  <c r="C266" i="5"/>
  <c r="D266" i="5"/>
  <c r="E266" i="5"/>
  <c r="F266" i="5"/>
  <c r="G266" i="5"/>
  <c r="H266" i="5"/>
  <c r="I266" i="5"/>
  <c r="J266" i="5"/>
  <c r="K266" i="5"/>
  <c r="L266" i="5"/>
  <c r="M266" i="5"/>
  <c r="N266" i="5"/>
  <c r="O266" i="5"/>
  <c r="P266" i="5"/>
  <c r="Q266" i="5"/>
  <c r="R266" i="5"/>
  <c r="S266" i="5"/>
  <c r="B267" i="5"/>
  <c r="C267" i="5"/>
  <c r="D267" i="5"/>
  <c r="E267" i="5"/>
  <c r="F267" i="5"/>
  <c r="G267" i="5"/>
  <c r="H267" i="5"/>
  <c r="I267" i="5"/>
  <c r="J267" i="5"/>
  <c r="K267" i="5"/>
  <c r="L267" i="5"/>
  <c r="M267" i="5"/>
  <c r="N267" i="5"/>
  <c r="O267" i="5"/>
  <c r="P267" i="5"/>
  <c r="Q267" i="5"/>
  <c r="R267" i="5"/>
  <c r="S267" i="5"/>
  <c r="B268" i="5"/>
  <c r="C268" i="5"/>
  <c r="D268" i="5"/>
  <c r="E268" i="5"/>
  <c r="F268" i="5"/>
  <c r="G268" i="5"/>
  <c r="H268" i="5"/>
  <c r="I268" i="5"/>
  <c r="J268" i="5"/>
  <c r="K268" i="5"/>
  <c r="L268" i="5"/>
  <c r="M268" i="5"/>
  <c r="N268" i="5"/>
  <c r="O268" i="5"/>
  <c r="P268" i="5"/>
  <c r="Q268" i="5"/>
  <c r="R268" i="5"/>
  <c r="S268" i="5"/>
  <c r="B269" i="5"/>
  <c r="C269" i="5"/>
  <c r="D269" i="5"/>
  <c r="E269" i="5"/>
  <c r="F269" i="5"/>
  <c r="G269" i="5"/>
  <c r="H269" i="5"/>
  <c r="I269" i="5"/>
  <c r="J269" i="5"/>
  <c r="K269" i="5"/>
  <c r="L269" i="5"/>
  <c r="M269" i="5"/>
  <c r="N269" i="5"/>
  <c r="O269" i="5"/>
  <c r="P269" i="5"/>
  <c r="Q269" i="5"/>
  <c r="R269" i="5"/>
  <c r="S269" i="5"/>
  <c r="B270" i="5"/>
  <c r="C270" i="5"/>
  <c r="D270" i="5"/>
  <c r="E270" i="5"/>
  <c r="F270" i="5"/>
  <c r="G270" i="5"/>
  <c r="H270" i="5"/>
  <c r="I270" i="5"/>
  <c r="J270" i="5"/>
  <c r="K270" i="5"/>
  <c r="L270" i="5"/>
  <c r="M270" i="5"/>
  <c r="N270" i="5"/>
  <c r="O270" i="5"/>
  <c r="P270" i="5"/>
  <c r="Q270" i="5"/>
  <c r="R270" i="5"/>
  <c r="S270" i="5"/>
  <c r="B271" i="5"/>
  <c r="C271" i="5"/>
  <c r="D271" i="5"/>
  <c r="E271" i="5"/>
  <c r="F271" i="5"/>
  <c r="G271" i="5"/>
  <c r="H271" i="5"/>
  <c r="I271" i="5"/>
  <c r="J271" i="5"/>
  <c r="K271" i="5"/>
  <c r="L271" i="5"/>
  <c r="M271" i="5"/>
  <c r="N271" i="5"/>
  <c r="O271" i="5"/>
  <c r="P271" i="5"/>
  <c r="Q271" i="5"/>
  <c r="R271" i="5"/>
  <c r="S271" i="5"/>
  <c r="B272" i="5"/>
  <c r="C272" i="5"/>
  <c r="D272" i="5"/>
  <c r="E272" i="5"/>
  <c r="F272" i="5"/>
  <c r="G272" i="5"/>
  <c r="H272" i="5"/>
  <c r="I272" i="5"/>
  <c r="J272" i="5"/>
  <c r="K272" i="5"/>
  <c r="L272" i="5"/>
  <c r="M272" i="5"/>
  <c r="N272" i="5"/>
  <c r="O272" i="5"/>
  <c r="P272" i="5"/>
  <c r="Q272" i="5"/>
  <c r="R272" i="5"/>
  <c r="S272" i="5"/>
  <c r="B273" i="5"/>
  <c r="C273" i="5"/>
  <c r="D273" i="5"/>
  <c r="E273" i="5"/>
  <c r="F273" i="5"/>
  <c r="G273" i="5"/>
  <c r="H273" i="5"/>
  <c r="I273" i="5"/>
  <c r="J273" i="5"/>
  <c r="K273" i="5"/>
  <c r="L273" i="5"/>
  <c r="M273" i="5"/>
  <c r="N273" i="5"/>
  <c r="O273" i="5"/>
  <c r="P273" i="5"/>
  <c r="Q273" i="5"/>
  <c r="R273" i="5"/>
  <c r="S273" i="5"/>
  <c r="B274" i="5"/>
  <c r="C274" i="5"/>
  <c r="D274" i="5"/>
  <c r="E274" i="5"/>
  <c r="F274" i="5"/>
  <c r="G274" i="5"/>
  <c r="H274" i="5"/>
  <c r="I274" i="5"/>
  <c r="J274" i="5"/>
  <c r="K274" i="5"/>
  <c r="L274" i="5"/>
  <c r="M274" i="5"/>
  <c r="N274" i="5"/>
  <c r="O274" i="5"/>
  <c r="P274" i="5"/>
  <c r="Q274" i="5"/>
  <c r="R274" i="5"/>
  <c r="S274" i="5"/>
  <c r="B275" i="5"/>
  <c r="C275" i="5"/>
  <c r="D275" i="5"/>
  <c r="E275" i="5"/>
  <c r="F275" i="5"/>
  <c r="G275" i="5"/>
  <c r="H275" i="5"/>
  <c r="I275" i="5"/>
  <c r="J275" i="5"/>
  <c r="K275" i="5"/>
  <c r="L275" i="5"/>
  <c r="M275" i="5"/>
  <c r="N275" i="5"/>
  <c r="O275" i="5"/>
  <c r="P275" i="5"/>
  <c r="Q275" i="5"/>
  <c r="R275" i="5"/>
  <c r="S275" i="5"/>
  <c r="B276" i="5"/>
  <c r="C276" i="5"/>
  <c r="D276" i="5"/>
  <c r="E276" i="5"/>
  <c r="F276" i="5"/>
  <c r="G276" i="5"/>
  <c r="H276" i="5"/>
  <c r="I276" i="5"/>
  <c r="J276" i="5"/>
  <c r="K276" i="5"/>
  <c r="L276" i="5"/>
  <c r="M276" i="5"/>
  <c r="N276" i="5"/>
  <c r="O276" i="5"/>
  <c r="P276" i="5"/>
  <c r="Q276" i="5"/>
  <c r="R276" i="5"/>
  <c r="S276" i="5"/>
  <c r="B277" i="5"/>
  <c r="C277" i="5"/>
  <c r="D277" i="5"/>
  <c r="E277" i="5"/>
  <c r="F277" i="5"/>
  <c r="G277" i="5"/>
  <c r="H277" i="5"/>
  <c r="I277" i="5"/>
  <c r="J277" i="5"/>
  <c r="K277" i="5"/>
  <c r="L277" i="5"/>
  <c r="M277" i="5"/>
  <c r="N277" i="5"/>
  <c r="O277" i="5"/>
  <c r="P277" i="5"/>
  <c r="Q277" i="5"/>
  <c r="R277" i="5"/>
  <c r="S277" i="5"/>
  <c r="B278" i="5"/>
  <c r="C278" i="5"/>
  <c r="D278" i="5"/>
  <c r="E278" i="5"/>
  <c r="F278" i="5"/>
  <c r="G278" i="5"/>
  <c r="H278" i="5"/>
  <c r="I278" i="5"/>
  <c r="J278" i="5"/>
  <c r="K278" i="5"/>
  <c r="L278" i="5"/>
  <c r="M278" i="5"/>
  <c r="N278" i="5"/>
  <c r="O278" i="5"/>
  <c r="P278" i="5"/>
  <c r="Q278" i="5"/>
  <c r="R278" i="5"/>
  <c r="S278" i="5"/>
  <c r="B279" i="5"/>
  <c r="C279" i="5"/>
  <c r="D279" i="5"/>
  <c r="E279" i="5"/>
  <c r="F279" i="5"/>
  <c r="G279" i="5"/>
  <c r="H279" i="5"/>
  <c r="I279" i="5"/>
  <c r="J279" i="5"/>
  <c r="K279" i="5"/>
  <c r="L279" i="5"/>
  <c r="M279" i="5"/>
  <c r="N279" i="5"/>
  <c r="O279" i="5"/>
  <c r="P279" i="5"/>
  <c r="Q279" i="5"/>
  <c r="R279" i="5"/>
  <c r="S279" i="5"/>
  <c r="B280" i="5"/>
  <c r="C280" i="5"/>
  <c r="D280" i="5"/>
  <c r="E280" i="5"/>
  <c r="F280" i="5"/>
  <c r="G280" i="5"/>
  <c r="H280" i="5"/>
  <c r="I280" i="5"/>
  <c r="J280" i="5"/>
  <c r="K280" i="5"/>
  <c r="L280" i="5"/>
  <c r="M280" i="5"/>
  <c r="N280" i="5"/>
  <c r="O280" i="5"/>
  <c r="P280" i="5"/>
  <c r="Q280" i="5"/>
  <c r="R280" i="5"/>
  <c r="S280" i="5"/>
  <c r="B281" i="5"/>
  <c r="C281" i="5"/>
  <c r="D281" i="5"/>
  <c r="E281" i="5"/>
  <c r="F281" i="5"/>
  <c r="G281" i="5"/>
  <c r="H281" i="5"/>
  <c r="I281" i="5"/>
  <c r="J281" i="5"/>
  <c r="K281" i="5"/>
  <c r="L281" i="5"/>
  <c r="M281" i="5"/>
  <c r="N281" i="5"/>
  <c r="O281" i="5"/>
  <c r="P281" i="5"/>
  <c r="Q281" i="5"/>
  <c r="R281" i="5"/>
  <c r="S281" i="5"/>
  <c r="B282" i="5"/>
  <c r="C282" i="5"/>
  <c r="D282" i="5"/>
  <c r="E282" i="5"/>
  <c r="F282" i="5"/>
  <c r="G282" i="5"/>
  <c r="H282" i="5"/>
  <c r="I282" i="5"/>
  <c r="J282" i="5"/>
  <c r="K282" i="5"/>
  <c r="L282" i="5"/>
  <c r="M282" i="5"/>
  <c r="N282" i="5"/>
  <c r="O282" i="5"/>
  <c r="P282" i="5"/>
  <c r="Q282" i="5"/>
  <c r="R282" i="5"/>
  <c r="S282" i="5"/>
  <c r="B283" i="5"/>
  <c r="C283" i="5"/>
  <c r="D283" i="5"/>
  <c r="E283" i="5"/>
  <c r="F283" i="5"/>
  <c r="G283" i="5"/>
  <c r="H283" i="5"/>
  <c r="I283" i="5"/>
  <c r="J283" i="5"/>
  <c r="K283" i="5"/>
  <c r="L283" i="5"/>
  <c r="M283" i="5"/>
  <c r="N283" i="5"/>
  <c r="O283" i="5"/>
  <c r="P283" i="5"/>
  <c r="Q283" i="5"/>
  <c r="R283" i="5"/>
  <c r="S283" i="5"/>
  <c r="B284" i="5"/>
  <c r="C284" i="5"/>
  <c r="D284" i="5"/>
  <c r="E284" i="5"/>
  <c r="F284" i="5"/>
  <c r="G284" i="5"/>
  <c r="H284" i="5"/>
  <c r="I284" i="5"/>
  <c r="J284" i="5"/>
  <c r="K284" i="5"/>
  <c r="L284" i="5"/>
  <c r="M284" i="5"/>
  <c r="N284" i="5"/>
  <c r="O284" i="5"/>
  <c r="P284" i="5"/>
  <c r="Q284" i="5"/>
  <c r="R284" i="5"/>
  <c r="S284" i="5"/>
  <c r="B285" i="5"/>
  <c r="C285" i="5"/>
  <c r="D285" i="5"/>
  <c r="E285" i="5"/>
  <c r="F285" i="5"/>
  <c r="G285" i="5"/>
  <c r="H285" i="5"/>
  <c r="I285" i="5"/>
  <c r="J285" i="5"/>
  <c r="K285" i="5"/>
  <c r="L285" i="5"/>
  <c r="M285" i="5"/>
  <c r="N285" i="5"/>
  <c r="O285" i="5"/>
  <c r="P285" i="5"/>
  <c r="Q285" i="5"/>
  <c r="R285" i="5"/>
  <c r="S285" i="5"/>
  <c r="B286" i="5"/>
  <c r="C286" i="5"/>
  <c r="D286" i="5"/>
  <c r="E286" i="5"/>
  <c r="F286" i="5"/>
  <c r="G286" i="5"/>
  <c r="H286" i="5"/>
  <c r="I286" i="5"/>
  <c r="J286" i="5"/>
  <c r="K286" i="5"/>
  <c r="L286" i="5"/>
  <c r="M286" i="5"/>
  <c r="N286" i="5"/>
  <c r="O286" i="5"/>
  <c r="P286" i="5"/>
  <c r="Q286" i="5"/>
  <c r="R286" i="5"/>
  <c r="S286" i="5"/>
  <c r="B287" i="5"/>
  <c r="C287" i="5"/>
  <c r="D287" i="5"/>
  <c r="E287" i="5"/>
  <c r="F287" i="5"/>
  <c r="G287" i="5"/>
  <c r="H287" i="5"/>
  <c r="I287" i="5"/>
  <c r="J287" i="5"/>
  <c r="K287" i="5"/>
  <c r="L287" i="5"/>
  <c r="M287" i="5"/>
  <c r="N287" i="5"/>
  <c r="O287" i="5"/>
  <c r="P287" i="5"/>
  <c r="Q287" i="5"/>
  <c r="R287" i="5"/>
  <c r="S287" i="5"/>
  <c r="B288" i="5"/>
  <c r="C288" i="5"/>
  <c r="D288" i="5"/>
  <c r="E288" i="5"/>
  <c r="F288" i="5"/>
  <c r="G288" i="5"/>
  <c r="H288" i="5"/>
  <c r="I288" i="5"/>
  <c r="J288" i="5"/>
  <c r="K288" i="5"/>
  <c r="L288" i="5"/>
  <c r="M288" i="5"/>
  <c r="N288" i="5"/>
  <c r="O288" i="5"/>
  <c r="P288" i="5"/>
  <c r="Q288" i="5"/>
  <c r="R288" i="5"/>
  <c r="S288" i="5"/>
  <c r="B289" i="5"/>
  <c r="C289" i="5"/>
  <c r="D289" i="5"/>
  <c r="E289" i="5"/>
  <c r="F289" i="5"/>
  <c r="G289" i="5"/>
  <c r="H289" i="5"/>
  <c r="I289" i="5"/>
  <c r="J289" i="5"/>
  <c r="K289" i="5"/>
  <c r="L289" i="5"/>
  <c r="M289" i="5"/>
  <c r="N289" i="5"/>
  <c r="O289" i="5"/>
  <c r="P289" i="5"/>
  <c r="Q289" i="5"/>
  <c r="R289" i="5"/>
  <c r="S289" i="5"/>
  <c r="B290" i="5"/>
  <c r="C290" i="5"/>
  <c r="D290" i="5"/>
  <c r="E290" i="5"/>
  <c r="F290" i="5"/>
  <c r="G290" i="5"/>
  <c r="H290" i="5"/>
  <c r="I290" i="5"/>
  <c r="J290" i="5"/>
  <c r="K290" i="5"/>
  <c r="L290" i="5"/>
  <c r="M290" i="5"/>
  <c r="N290" i="5"/>
  <c r="O290" i="5"/>
  <c r="P290" i="5"/>
  <c r="Q290" i="5"/>
  <c r="R290" i="5"/>
  <c r="S290" i="5"/>
  <c r="B291" i="5"/>
  <c r="C291" i="5"/>
  <c r="D291" i="5"/>
  <c r="E291" i="5"/>
  <c r="F291" i="5"/>
  <c r="G291" i="5"/>
  <c r="H291" i="5"/>
  <c r="I291" i="5"/>
  <c r="J291" i="5"/>
  <c r="K291" i="5"/>
  <c r="L291" i="5"/>
  <c r="M291" i="5"/>
  <c r="N291" i="5"/>
  <c r="O291" i="5"/>
  <c r="P291" i="5"/>
  <c r="Q291" i="5"/>
  <c r="R291" i="5"/>
  <c r="S291" i="5"/>
  <c r="B292" i="5"/>
  <c r="C292" i="5"/>
  <c r="D292" i="5"/>
  <c r="E292" i="5"/>
  <c r="F292" i="5"/>
  <c r="G292" i="5"/>
  <c r="H292" i="5"/>
  <c r="I292" i="5"/>
  <c r="J292" i="5"/>
  <c r="K292" i="5"/>
  <c r="L292" i="5"/>
  <c r="M292" i="5"/>
  <c r="N292" i="5"/>
  <c r="O292" i="5"/>
  <c r="P292" i="5"/>
  <c r="Q292" i="5"/>
  <c r="R292" i="5"/>
  <c r="S292" i="5"/>
  <c r="B293" i="5"/>
  <c r="C293" i="5"/>
  <c r="D293" i="5"/>
  <c r="E293" i="5"/>
  <c r="F293" i="5"/>
  <c r="G293" i="5"/>
  <c r="H293" i="5"/>
  <c r="I293" i="5"/>
  <c r="J293" i="5"/>
  <c r="K293" i="5"/>
  <c r="L293" i="5"/>
  <c r="M293" i="5"/>
  <c r="N293" i="5"/>
  <c r="O293" i="5"/>
  <c r="P293" i="5"/>
  <c r="Q293" i="5"/>
  <c r="R293" i="5"/>
  <c r="S293" i="5"/>
  <c r="B294" i="5"/>
  <c r="C294" i="5"/>
  <c r="D294" i="5"/>
  <c r="E294" i="5"/>
  <c r="F294" i="5"/>
  <c r="G294" i="5"/>
  <c r="H294" i="5"/>
  <c r="I294" i="5"/>
  <c r="J294" i="5"/>
  <c r="K294" i="5"/>
  <c r="L294" i="5"/>
  <c r="M294" i="5"/>
  <c r="N294" i="5"/>
  <c r="O294" i="5"/>
  <c r="P294" i="5"/>
  <c r="Q294" i="5"/>
  <c r="R294" i="5"/>
  <c r="S294" i="5"/>
  <c r="B295" i="5"/>
  <c r="C295" i="5"/>
  <c r="D295" i="5"/>
  <c r="E295" i="5"/>
  <c r="F295" i="5"/>
  <c r="G295" i="5"/>
  <c r="H295" i="5"/>
  <c r="I295" i="5"/>
  <c r="J295" i="5"/>
  <c r="K295" i="5"/>
  <c r="L295" i="5"/>
  <c r="M295" i="5"/>
  <c r="N295" i="5"/>
  <c r="O295" i="5"/>
  <c r="P295" i="5"/>
  <c r="Q295" i="5"/>
  <c r="R295" i="5"/>
  <c r="S295" i="5"/>
  <c r="B296" i="5"/>
  <c r="C296" i="5"/>
  <c r="D296" i="5"/>
  <c r="E296" i="5"/>
  <c r="F296" i="5"/>
  <c r="G296" i="5"/>
  <c r="H296" i="5"/>
  <c r="I296" i="5"/>
  <c r="J296" i="5"/>
  <c r="K296" i="5"/>
  <c r="L296" i="5"/>
  <c r="M296" i="5"/>
  <c r="N296" i="5"/>
  <c r="O296" i="5"/>
  <c r="P296" i="5"/>
  <c r="Q296" i="5"/>
  <c r="R296" i="5"/>
  <c r="S296" i="5"/>
  <c r="B297" i="5"/>
  <c r="C297" i="5"/>
  <c r="D297" i="5"/>
  <c r="E297" i="5"/>
  <c r="F297" i="5"/>
  <c r="G297" i="5"/>
  <c r="H297" i="5"/>
  <c r="I297" i="5"/>
  <c r="J297" i="5"/>
  <c r="K297" i="5"/>
  <c r="L297" i="5"/>
  <c r="M297" i="5"/>
  <c r="N297" i="5"/>
  <c r="O297" i="5"/>
  <c r="P297" i="5"/>
  <c r="Q297" i="5"/>
  <c r="R297" i="5"/>
  <c r="S297" i="5"/>
  <c r="B298" i="5"/>
  <c r="C298" i="5"/>
  <c r="D298" i="5"/>
  <c r="E298" i="5"/>
  <c r="F298" i="5"/>
  <c r="G298" i="5"/>
  <c r="H298" i="5"/>
  <c r="I298" i="5"/>
  <c r="J298" i="5"/>
  <c r="K298" i="5"/>
  <c r="L298" i="5"/>
  <c r="M298" i="5"/>
  <c r="N298" i="5"/>
  <c r="O298" i="5"/>
  <c r="P298" i="5"/>
  <c r="Q298" i="5"/>
  <c r="R298" i="5"/>
  <c r="S298" i="5"/>
  <c r="B299" i="5"/>
  <c r="C299" i="5"/>
  <c r="D299" i="5"/>
  <c r="E299" i="5"/>
  <c r="F299" i="5"/>
  <c r="G299" i="5"/>
  <c r="H299" i="5"/>
  <c r="I299" i="5"/>
  <c r="J299" i="5"/>
  <c r="K299" i="5"/>
  <c r="L299" i="5"/>
  <c r="M299" i="5"/>
  <c r="N299" i="5"/>
  <c r="O299" i="5"/>
  <c r="P299" i="5"/>
  <c r="Q299" i="5"/>
  <c r="R299" i="5"/>
  <c r="S299" i="5"/>
  <c r="B300" i="5"/>
  <c r="C300" i="5"/>
  <c r="D300" i="5"/>
  <c r="E300" i="5"/>
  <c r="F300" i="5"/>
  <c r="G300" i="5"/>
  <c r="H300" i="5"/>
  <c r="I300" i="5"/>
  <c r="J300" i="5"/>
  <c r="K300" i="5"/>
  <c r="L300" i="5"/>
  <c r="M300" i="5"/>
  <c r="N300" i="5"/>
  <c r="O300" i="5"/>
  <c r="P300" i="5"/>
  <c r="Q300" i="5"/>
  <c r="R300" i="5"/>
  <c r="S300" i="5"/>
  <c r="B301" i="5"/>
  <c r="C301" i="5"/>
  <c r="D301" i="5"/>
  <c r="E301" i="5"/>
  <c r="F301" i="5"/>
  <c r="G301" i="5"/>
  <c r="H301" i="5"/>
  <c r="I301" i="5"/>
  <c r="J301" i="5"/>
  <c r="K301" i="5"/>
  <c r="L301" i="5"/>
  <c r="M301" i="5"/>
  <c r="N301" i="5"/>
  <c r="O301" i="5"/>
  <c r="P301" i="5"/>
  <c r="Q301" i="5"/>
  <c r="R301" i="5"/>
  <c r="S301" i="5"/>
  <c r="B302" i="5"/>
  <c r="C302" i="5"/>
  <c r="D302" i="5"/>
  <c r="E302" i="5"/>
  <c r="F302" i="5"/>
  <c r="G302" i="5"/>
  <c r="H302" i="5"/>
  <c r="I302" i="5"/>
  <c r="J302" i="5"/>
  <c r="K302" i="5"/>
  <c r="L302" i="5"/>
  <c r="M302" i="5"/>
  <c r="N302" i="5"/>
  <c r="O302" i="5"/>
  <c r="P302" i="5"/>
  <c r="Q302" i="5"/>
  <c r="R302" i="5"/>
  <c r="S302" i="5"/>
  <c r="B303" i="5"/>
  <c r="C303" i="5"/>
  <c r="D303" i="5"/>
  <c r="E303" i="5"/>
  <c r="F303" i="5"/>
  <c r="G303" i="5"/>
  <c r="H303" i="5"/>
  <c r="I303" i="5"/>
  <c r="J303" i="5"/>
  <c r="K303" i="5"/>
  <c r="L303" i="5"/>
  <c r="M303" i="5"/>
  <c r="N303" i="5"/>
  <c r="O303" i="5"/>
  <c r="P303" i="5"/>
  <c r="Q303" i="5"/>
  <c r="R303" i="5"/>
  <c r="S303" i="5"/>
  <c r="B304" i="5"/>
  <c r="C304" i="5"/>
  <c r="D304" i="5"/>
  <c r="E304" i="5"/>
  <c r="F304" i="5"/>
  <c r="G304" i="5"/>
  <c r="H304" i="5"/>
  <c r="I304" i="5"/>
  <c r="J304" i="5"/>
  <c r="K304" i="5"/>
  <c r="L304" i="5"/>
  <c r="M304" i="5"/>
  <c r="N304" i="5"/>
  <c r="O304" i="5"/>
  <c r="P304" i="5"/>
  <c r="Q304" i="5"/>
  <c r="R304" i="5"/>
  <c r="S304" i="5"/>
  <c r="B305" i="5"/>
  <c r="C305" i="5"/>
  <c r="D305" i="5"/>
  <c r="E305" i="5"/>
  <c r="F305" i="5"/>
  <c r="G305" i="5"/>
  <c r="H305" i="5"/>
  <c r="I305" i="5"/>
  <c r="J305" i="5"/>
  <c r="K305" i="5"/>
  <c r="L305" i="5"/>
  <c r="M305" i="5"/>
  <c r="N305" i="5"/>
  <c r="O305" i="5"/>
  <c r="P305" i="5"/>
  <c r="Q305" i="5"/>
  <c r="R305" i="5"/>
  <c r="S305" i="5"/>
  <c r="B306" i="5"/>
  <c r="C306" i="5"/>
  <c r="D306" i="5"/>
  <c r="E306" i="5"/>
  <c r="F306" i="5"/>
  <c r="G306" i="5"/>
  <c r="H306" i="5"/>
  <c r="I306" i="5"/>
  <c r="J306" i="5"/>
  <c r="K306" i="5"/>
  <c r="L306" i="5"/>
  <c r="M306" i="5"/>
  <c r="N306" i="5"/>
  <c r="O306" i="5"/>
  <c r="P306" i="5"/>
  <c r="Q306" i="5"/>
  <c r="R306" i="5"/>
  <c r="S306" i="5"/>
  <c r="B307" i="5"/>
  <c r="C307" i="5"/>
  <c r="D307" i="5"/>
  <c r="E307" i="5"/>
  <c r="F307" i="5"/>
  <c r="G307" i="5"/>
  <c r="H307" i="5"/>
  <c r="I307" i="5"/>
  <c r="J307" i="5"/>
  <c r="K307" i="5"/>
  <c r="L307" i="5"/>
  <c r="M307" i="5"/>
  <c r="N307" i="5"/>
  <c r="O307" i="5"/>
  <c r="P307" i="5"/>
  <c r="Q307" i="5"/>
  <c r="R307" i="5"/>
  <c r="S307" i="5"/>
  <c r="B308" i="5"/>
  <c r="C308" i="5"/>
  <c r="D308" i="5"/>
  <c r="E308" i="5"/>
  <c r="F308" i="5"/>
  <c r="G308" i="5"/>
  <c r="H308" i="5"/>
  <c r="I308" i="5"/>
  <c r="J308" i="5"/>
  <c r="K308" i="5"/>
  <c r="L308" i="5"/>
  <c r="M308" i="5"/>
  <c r="N308" i="5"/>
  <c r="O308" i="5"/>
  <c r="P308" i="5"/>
  <c r="Q308" i="5"/>
  <c r="R308" i="5"/>
  <c r="S308" i="5"/>
  <c r="B309" i="5"/>
  <c r="C309" i="5"/>
  <c r="D309" i="5"/>
  <c r="E309" i="5"/>
  <c r="F309" i="5"/>
  <c r="G309" i="5"/>
  <c r="H309" i="5"/>
  <c r="I309" i="5"/>
  <c r="J309" i="5"/>
  <c r="K309" i="5"/>
  <c r="L309" i="5"/>
  <c r="M309" i="5"/>
  <c r="N309" i="5"/>
  <c r="O309" i="5"/>
  <c r="P309" i="5"/>
  <c r="Q309" i="5"/>
  <c r="R309" i="5"/>
  <c r="S309" i="5"/>
  <c r="B310" i="5"/>
  <c r="C310" i="5"/>
  <c r="D310" i="5"/>
  <c r="E310" i="5"/>
  <c r="F310" i="5"/>
  <c r="G310" i="5"/>
  <c r="H310" i="5"/>
  <c r="I310" i="5"/>
  <c r="J310" i="5"/>
  <c r="K310" i="5"/>
  <c r="L310" i="5"/>
  <c r="M310" i="5"/>
  <c r="N310" i="5"/>
  <c r="O310" i="5"/>
  <c r="P310" i="5"/>
  <c r="Q310" i="5"/>
  <c r="R310" i="5"/>
  <c r="S310" i="5"/>
  <c r="B311" i="5"/>
  <c r="C311" i="5"/>
  <c r="D311" i="5"/>
  <c r="E311" i="5"/>
  <c r="F311" i="5"/>
  <c r="G311" i="5"/>
  <c r="H311" i="5"/>
  <c r="I311" i="5"/>
  <c r="J311" i="5"/>
  <c r="K311" i="5"/>
  <c r="L311" i="5"/>
  <c r="M311" i="5"/>
  <c r="N311" i="5"/>
  <c r="O311" i="5"/>
  <c r="P311" i="5"/>
  <c r="Q311" i="5"/>
  <c r="R311" i="5"/>
  <c r="S311" i="5"/>
  <c r="B312" i="5"/>
  <c r="C312" i="5"/>
  <c r="D312" i="5"/>
  <c r="E312" i="5"/>
  <c r="F312" i="5"/>
  <c r="G312" i="5"/>
  <c r="H312" i="5"/>
  <c r="I312" i="5"/>
  <c r="J312" i="5"/>
  <c r="K312" i="5"/>
  <c r="L312" i="5"/>
  <c r="M312" i="5"/>
  <c r="N312" i="5"/>
  <c r="O312" i="5"/>
  <c r="P312" i="5"/>
  <c r="Q312" i="5"/>
  <c r="R312" i="5"/>
  <c r="S312" i="5"/>
  <c r="B313" i="5"/>
  <c r="C313" i="5"/>
  <c r="D313" i="5"/>
  <c r="E313" i="5"/>
  <c r="F313" i="5"/>
  <c r="G313" i="5"/>
  <c r="H313" i="5"/>
  <c r="I313" i="5"/>
  <c r="J313" i="5"/>
  <c r="K313" i="5"/>
  <c r="L313" i="5"/>
  <c r="M313" i="5"/>
  <c r="N313" i="5"/>
  <c r="O313" i="5"/>
  <c r="P313" i="5"/>
  <c r="Q313" i="5"/>
  <c r="R313" i="5"/>
  <c r="S313" i="5"/>
  <c r="B314" i="5"/>
  <c r="C314" i="5"/>
  <c r="D314" i="5"/>
  <c r="E314" i="5"/>
  <c r="F314" i="5"/>
  <c r="G314" i="5"/>
  <c r="H314" i="5"/>
  <c r="I314" i="5"/>
  <c r="J314" i="5"/>
  <c r="K314" i="5"/>
  <c r="L314" i="5"/>
  <c r="M314" i="5"/>
  <c r="N314" i="5"/>
  <c r="O314" i="5"/>
  <c r="P314" i="5"/>
  <c r="Q314" i="5"/>
  <c r="R314" i="5"/>
  <c r="S314" i="5"/>
  <c r="B315" i="5"/>
  <c r="C315" i="5"/>
  <c r="D315" i="5"/>
  <c r="E315" i="5"/>
  <c r="F315" i="5"/>
  <c r="G315" i="5"/>
  <c r="H315" i="5"/>
  <c r="I315" i="5"/>
  <c r="J315" i="5"/>
  <c r="K315" i="5"/>
  <c r="L315" i="5"/>
  <c r="M315" i="5"/>
  <c r="N315" i="5"/>
  <c r="O315" i="5"/>
  <c r="P315" i="5"/>
  <c r="Q315" i="5"/>
  <c r="R315" i="5"/>
  <c r="S315" i="5"/>
  <c r="B316" i="5"/>
  <c r="C316" i="5"/>
  <c r="D316" i="5"/>
  <c r="E316" i="5"/>
  <c r="F316" i="5"/>
  <c r="G316" i="5"/>
  <c r="H316" i="5"/>
  <c r="I316" i="5"/>
  <c r="J316" i="5"/>
  <c r="K316" i="5"/>
  <c r="L316" i="5"/>
  <c r="M316" i="5"/>
  <c r="N316" i="5"/>
  <c r="O316" i="5"/>
  <c r="P316" i="5"/>
  <c r="Q316" i="5"/>
  <c r="R316" i="5"/>
  <c r="S316" i="5"/>
  <c r="B317" i="5"/>
  <c r="C317" i="5"/>
  <c r="D317" i="5"/>
  <c r="E317" i="5"/>
  <c r="F317" i="5"/>
  <c r="G317" i="5"/>
  <c r="H317" i="5"/>
  <c r="I317" i="5"/>
  <c r="J317" i="5"/>
  <c r="K317" i="5"/>
  <c r="L317" i="5"/>
  <c r="M317" i="5"/>
  <c r="N317" i="5"/>
  <c r="O317" i="5"/>
  <c r="P317" i="5"/>
  <c r="Q317" i="5"/>
  <c r="R317" i="5"/>
  <c r="S317" i="5"/>
  <c r="B318" i="5"/>
  <c r="C318" i="5"/>
  <c r="D318" i="5"/>
  <c r="E318" i="5"/>
  <c r="F318" i="5"/>
  <c r="G318" i="5"/>
  <c r="H318" i="5"/>
  <c r="I318" i="5"/>
  <c r="J318" i="5"/>
  <c r="K318" i="5"/>
  <c r="L318" i="5"/>
  <c r="M318" i="5"/>
  <c r="N318" i="5"/>
  <c r="O318" i="5"/>
  <c r="P318" i="5"/>
  <c r="Q318" i="5"/>
  <c r="R318" i="5"/>
  <c r="S318" i="5"/>
  <c r="B319" i="5"/>
  <c r="C319" i="5"/>
  <c r="D319" i="5"/>
  <c r="E319" i="5"/>
  <c r="F319" i="5"/>
  <c r="G319" i="5"/>
  <c r="H319" i="5"/>
  <c r="I319" i="5"/>
  <c r="J319" i="5"/>
  <c r="K319" i="5"/>
  <c r="L319" i="5"/>
  <c r="M319" i="5"/>
  <c r="N319" i="5"/>
  <c r="O319" i="5"/>
  <c r="P319" i="5"/>
  <c r="Q319" i="5"/>
  <c r="R319" i="5"/>
  <c r="S319" i="5"/>
  <c r="B320" i="5"/>
  <c r="C320" i="5"/>
  <c r="D320" i="5"/>
  <c r="E320" i="5"/>
  <c r="F320" i="5"/>
  <c r="G320" i="5"/>
  <c r="H320" i="5"/>
  <c r="I320" i="5"/>
  <c r="J320" i="5"/>
  <c r="K320" i="5"/>
  <c r="L320" i="5"/>
  <c r="M320" i="5"/>
  <c r="N320" i="5"/>
  <c r="O320" i="5"/>
  <c r="P320" i="5"/>
  <c r="Q320" i="5"/>
  <c r="R320" i="5"/>
  <c r="S320" i="5"/>
  <c r="B321" i="5"/>
  <c r="C321" i="5"/>
  <c r="D321" i="5"/>
  <c r="E321" i="5"/>
  <c r="F321" i="5"/>
  <c r="G321" i="5"/>
  <c r="H321" i="5"/>
  <c r="I321" i="5"/>
  <c r="J321" i="5"/>
  <c r="K321" i="5"/>
  <c r="L321" i="5"/>
  <c r="M321" i="5"/>
  <c r="N321" i="5"/>
  <c r="O321" i="5"/>
  <c r="P321" i="5"/>
  <c r="Q321" i="5"/>
  <c r="R321" i="5"/>
  <c r="S321" i="5"/>
  <c r="B322" i="5"/>
  <c r="C322" i="5"/>
  <c r="D322" i="5"/>
  <c r="E322" i="5"/>
  <c r="F322" i="5"/>
  <c r="G322" i="5"/>
  <c r="H322" i="5"/>
  <c r="I322" i="5"/>
  <c r="J322" i="5"/>
  <c r="K322" i="5"/>
  <c r="L322" i="5"/>
  <c r="M322" i="5"/>
  <c r="N322" i="5"/>
  <c r="O322" i="5"/>
  <c r="P322" i="5"/>
  <c r="Q322" i="5"/>
  <c r="R322" i="5"/>
  <c r="S322" i="5"/>
  <c r="B323" i="5"/>
  <c r="C323" i="5"/>
  <c r="D323" i="5"/>
  <c r="E323" i="5"/>
  <c r="F323" i="5"/>
  <c r="G323" i="5"/>
  <c r="H323" i="5"/>
  <c r="I323" i="5"/>
  <c r="J323" i="5"/>
  <c r="K323" i="5"/>
  <c r="L323" i="5"/>
  <c r="M323" i="5"/>
  <c r="N323" i="5"/>
  <c r="O323" i="5"/>
  <c r="P323" i="5"/>
  <c r="Q323" i="5"/>
  <c r="R323" i="5"/>
  <c r="S323" i="5"/>
  <c r="B324" i="5"/>
  <c r="C324" i="5"/>
  <c r="D324" i="5"/>
  <c r="E324" i="5"/>
  <c r="F324" i="5"/>
  <c r="G324" i="5"/>
  <c r="H324" i="5"/>
  <c r="I324" i="5"/>
  <c r="J324" i="5"/>
  <c r="K324" i="5"/>
  <c r="L324" i="5"/>
  <c r="M324" i="5"/>
  <c r="N324" i="5"/>
  <c r="O324" i="5"/>
  <c r="P324" i="5"/>
  <c r="Q324" i="5"/>
  <c r="R324" i="5"/>
  <c r="S324" i="5"/>
  <c r="B325" i="5"/>
  <c r="C325" i="5"/>
  <c r="D325" i="5"/>
  <c r="E325" i="5"/>
  <c r="F325" i="5"/>
  <c r="G325" i="5"/>
  <c r="H325" i="5"/>
  <c r="I325" i="5"/>
  <c r="J325" i="5"/>
  <c r="K325" i="5"/>
  <c r="L325" i="5"/>
  <c r="M325" i="5"/>
  <c r="N325" i="5"/>
  <c r="O325" i="5"/>
  <c r="P325" i="5"/>
  <c r="Q325" i="5"/>
  <c r="R325" i="5"/>
  <c r="S325" i="5"/>
  <c r="B326" i="5"/>
  <c r="C326" i="5"/>
  <c r="D326" i="5"/>
  <c r="E326" i="5"/>
  <c r="F326" i="5"/>
  <c r="G326" i="5"/>
  <c r="H326" i="5"/>
  <c r="I326" i="5"/>
  <c r="J326" i="5"/>
  <c r="K326" i="5"/>
  <c r="L326" i="5"/>
  <c r="M326" i="5"/>
  <c r="N326" i="5"/>
  <c r="O326" i="5"/>
  <c r="P326" i="5"/>
  <c r="Q326" i="5"/>
  <c r="R326" i="5"/>
  <c r="S326" i="5"/>
  <c r="B327" i="5"/>
  <c r="C327" i="5"/>
  <c r="D327" i="5"/>
  <c r="E327" i="5"/>
  <c r="F327" i="5"/>
  <c r="G327" i="5"/>
  <c r="H327" i="5"/>
  <c r="I327" i="5"/>
  <c r="J327" i="5"/>
  <c r="K327" i="5"/>
  <c r="L327" i="5"/>
  <c r="M327" i="5"/>
  <c r="N327" i="5"/>
  <c r="O327" i="5"/>
  <c r="P327" i="5"/>
  <c r="Q327" i="5"/>
  <c r="R327" i="5"/>
  <c r="S327" i="5"/>
  <c r="B328" i="5"/>
  <c r="C328" i="5"/>
  <c r="D328" i="5"/>
  <c r="E328" i="5"/>
  <c r="F328" i="5"/>
  <c r="G328" i="5"/>
  <c r="H328" i="5"/>
  <c r="I328" i="5"/>
  <c r="J328" i="5"/>
  <c r="K328" i="5"/>
  <c r="L328" i="5"/>
  <c r="M328" i="5"/>
  <c r="N328" i="5"/>
  <c r="O328" i="5"/>
  <c r="P328" i="5"/>
  <c r="Q328" i="5"/>
  <c r="R328" i="5"/>
  <c r="S328" i="5"/>
  <c r="B329" i="5"/>
  <c r="C329" i="5"/>
  <c r="D329" i="5"/>
  <c r="E329" i="5"/>
  <c r="F329" i="5"/>
  <c r="G329" i="5"/>
  <c r="H329" i="5"/>
  <c r="I329" i="5"/>
  <c r="J329" i="5"/>
  <c r="K329" i="5"/>
  <c r="L329" i="5"/>
  <c r="M329" i="5"/>
  <c r="N329" i="5"/>
  <c r="O329" i="5"/>
  <c r="P329" i="5"/>
  <c r="Q329" i="5"/>
  <c r="R329" i="5"/>
  <c r="S329" i="5"/>
  <c r="B330" i="5"/>
  <c r="C330" i="5"/>
  <c r="D330" i="5"/>
  <c r="E330" i="5"/>
  <c r="F330" i="5"/>
  <c r="G330" i="5"/>
  <c r="H330" i="5"/>
  <c r="I330" i="5"/>
  <c r="J330" i="5"/>
  <c r="K330" i="5"/>
  <c r="L330" i="5"/>
  <c r="M330" i="5"/>
  <c r="N330" i="5"/>
  <c r="O330" i="5"/>
  <c r="P330" i="5"/>
  <c r="Q330" i="5"/>
  <c r="R330" i="5"/>
  <c r="S330" i="5"/>
  <c r="B331" i="5"/>
  <c r="C331" i="5"/>
  <c r="D331" i="5"/>
  <c r="E331" i="5"/>
  <c r="F331" i="5"/>
  <c r="G331" i="5"/>
  <c r="H331" i="5"/>
  <c r="I331" i="5"/>
  <c r="J331" i="5"/>
  <c r="K331" i="5"/>
  <c r="L331" i="5"/>
  <c r="M331" i="5"/>
  <c r="N331" i="5"/>
  <c r="O331" i="5"/>
  <c r="P331" i="5"/>
  <c r="Q331" i="5"/>
  <c r="R331" i="5"/>
  <c r="S331" i="5"/>
  <c r="B332" i="5"/>
  <c r="C332" i="5"/>
  <c r="D332" i="5"/>
  <c r="E332" i="5"/>
  <c r="F332" i="5"/>
  <c r="G332" i="5"/>
  <c r="H332" i="5"/>
  <c r="I332" i="5"/>
  <c r="J332" i="5"/>
  <c r="K332" i="5"/>
  <c r="L332" i="5"/>
  <c r="M332" i="5"/>
  <c r="N332" i="5"/>
  <c r="O332" i="5"/>
  <c r="P332" i="5"/>
  <c r="Q332" i="5"/>
  <c r="R332" i="5"/>
  <c r="S332" i="5"/>
  <c r="B333" i="5"/>
  <c r="C333" i="5"/>
  <c r="D333" i="5"/>
  <c r="E333" i="5"/>
  <c r="F333" i="5"/>
  <c r="G333" i="5"/>
  <c r="H333" i="5"/>
  <c r="I333" i="5"/>
  <c r="J333" i="5"/>
  <c r="K333" i="5"/>
  <c r="L333" i="5"/>
  <c r="M333" i="5"/>
  <c r="N333" i="5"/>
  <c r="O333" i="5"/>
  <c r="P333" i="5"/>
  <c r="Q333" i="5"/>
  <c r="R333" i="5"/>
  <c r="S333" i="5"/>
  <c r="B334" i="5"/>
  <c r="C334" i="5"/>
  <c r="D334" i="5"/>
  <c r="E334" i="5"/>
  <c r="F334" i="5"/>
  <c r="G334" i="5"/>
  <c r="H334" i="5"/>
  <c r="I334" i="5"/>
  <c r="J334" i="5"/>
  <c r="K334" i="5"/>
  <c r="L334" i="5"/>
  <c r="M334" i="5"/>
  <c r="N334" i="5"/>
  <c r="O334" i="5"/>
  <c r="P334" i="5"/>
  <c r="Q334" i="5"/>
  <c r="R334" i="5"/>
  <c r="S334" i="5"/>
  <c r="B335" i="5"/>
  <c r="C335" i="5"/>
  <c r="D335" i="5"/>
  <c r="E335" i="5"/>
  <c r="F335" i="5"/>
  <c r="G335" i="5"/>
  <c r="H335" i="5"/>
  <c r="I335" i="5"/>
  <c r="J335" i="5"/>
  <c r="K335" i="5"/>
  <c r="L335" i="5"/>
  <c r="M335" i="5"/>
  <c r="N335" i="5"/>
  <c r="O335" i="5"/>
  <c r="P335" i="5"/>
  <c r="Q335" i="5"/>
  <c r="R335" i="5"/>
  <c r="S335" i="5"/>
  <c r="B336" i="5"/>
  <c r="C336" i="5"/>
  <c r="D336" i="5"/>
  <c r="E336" i="5"/>
  <c r="F336" i="5"/>
  <c r="G336" i="5"/>
  <c r="H336" i="5"/>
  <c r="I336" i="5"/>
  <c r="J336" i="5"/>
  <c r="K336" i="5"/>
  <c r="L336" i="5"/>
  <c r="M336" i="5"/>
  <c r="N336" i="5"/>
  <c r="O336" i="5"/>
  <c r="P336" i="5"/>
  <c r="Q336" i="5"/>
  <c r="R336" i="5"/>
  <c r="S336" i="5"/>
  <c r="B337" i="5"/>
  <c r="C337" i="5"/>
  <c r="D337" i="5"/>
  <c r="E337" i="5"/>
  <c r="F337" i="5"/>
  <c r="G337" i="5"/>
  <c r="H337" i="5"/>
  <c r="I337" i="5"/>
  <c r="J337" i="5"/>
  <c r="K337" i="5"/>
  <c r="L337" i="5"/>
  <c r="M337" i="5"/>
  <c r="N337" i="5"/>
  <c r="O337" i="5"/>
  <c r="P337" i="5"/>
  <c r="Q337" i="5"/>
  <c r="R337" i="5"/>
  <c r="S337" i="5"/>
  <c r="B338" i="5"/>
  <c r="C338" i="5"/>
  <c r="D338" i="5"/>
  <c r="E338" i="5"/>
  <c r="F338" i="5"/>
  <c r="G338" i="5"/>
  <c r="H338" i="5"/>
  <c r="I338" i="5"/>
  <c r="J338" i="5"/>
  <c r="K338" i="5"/>
  <c r="L338" i="5"/>
  <c r="M338" i="5"/>
  <c r="N338" i="5"/>
  <c r="O338" i="5"/>
  <c r="P338" i="5"/>
  <c r="Q338" i="5"/>
  <c r="R338" i="5"/>
  <c r="S338" i="5"/>
  <c r="B339" i="5"/>
  <c r="C339" i="5"/>
  <c r="D339" i="5"/>
  <c r="E339" i="5"/>
  <c r="F339" i="5"/>
  <c r="G339" i="5"/>
  <c r="H339" i="5"/>
  <c r="I339" i="5"/>
  <c r="J339" i="5"/>
  <c r="K339" i="5"/>
  <c r="L339" i="5"/>
  <c r="M339" i="5"/>
  <c r="N339" i="5"/>
  <c r="O339" i="5"/>
  <c r="P339" i="5"/>
  <c r="Q339" i="5"/>
  <c r="R339" i="5"/>
  <c r="S339" i="5"/>
  <c r="B340" i="5"/>
  <c r="C340" i="5"/>
  <c r="D340" i="5"/>
  <c r="E340" i="5"/>
  <c r="F340" i="5"/>
  <c r="G340" i="5"/>
  <c r="H340" i="5"/>
  <c r="I340" i="5"/>
  <c r="J340" i="5"/>
  <c r="K340" i="5"/>
  <c r="L340" i="5"/>
  <c r="M340" i="5"/>
  <c r="N340" i="5"/>
  <c r="O340" i="5"/>
  <c r="P340" i="5"/>
  <c r="Q340" i="5"/>
  <c r="R340" i="5"/>
  <c r="S340" i="5"/>
  <c r="B341" i="5"/>
  <c r="C341" i="5"/>
  <c r="D341" i="5"/>
  <c r="E341" i="5"/>
  <c r="F341" i="5"/>
  <c r="G341" i="5"/>
  <c r="H341" i="5"/>
  <c r="I341" i="5"/>
  <c r="J341" i="5"/>
  <c r="K341" i="5"/>
  <c r="L341" i="5"/>
  <c r="M341" i="5"/>
  <c r="N341" i="5"/>
  <c r="O341" i="5"/>
  <c r="P341" i="5"/>
  <c r="Q341" i="5"/>
  <c r="R341" i="5"/>
  <c r="S341" i="5"/>
  <c r="B342" i="5"/>
  <c r="C342" i="5"/>
  <c r="D342" i="5"/>
  <c r="E342" i="5"/>
  <c r="F342" i="5"/>
  <c r="G342" i="5"/>
  <c r="H342" i="5"/>
  <c r="I342" i="5"/>
  <c r="J342" i="5"/>
  <c r="K342" i="5"/>
  <c r="L342" i="5"/>
  <c r="M342" i="5"/>
  <c r="N342" i="5"/>
  <c r="O342" i="5"/>
  <c r="P342" i="5"/>
  <c r="Q342" i="5"/>
  <c r="R342" i="5"/>
  <c r="S342" i="5"/>
  <c r="B343" i="5"/>
  <c r="C343" i="5"/>
  <c r="D343" i="5"/>
  <c r="E343" i="5"/>
  <c r="F343" i="5"/>
  <c r="G343" i="5"/>
  <c r="H343" i="5"/>
  <c r="I343" i="5"/>
  <c r="J343" i="5"/>
  <c r="K343" i="5"/>
  <c r="L343" i="5"/>
  <c r="M343" i="5"/>
  <c r="N343" i="5"/>
  <c r="O343" i="5"/>
  <c r="P343" i="5"/>
  <c r="Q343" i="5"/>
  <c r="R343" i="5"/>
  <c r="S343" i="5"/>
  <c r="B344" i="5"/>
  <c r="C344" i="5"/>
  <c r="D344" i="5"/>
  <c r="E344" i="5"/>
  <c r="F344" i="5"/>
  <c r="G344" i="5"/>
  <c r="H344" i="5"/>
  <c r="I344" i="5"/>
  <c r="J344" i="5"/>
  <c r="K344" i="5"/>
  <c r="L344" i="5"/>
  <c r="M344" i="5"/>
  <c r="N344" i="5"/>
  <c r="O344" i="5"/>
  <c r="P344" i="5"/>
  <c r="Q344" i="5"/>
  <c r="R344" i="5"/>
  <c r="S344" i="5"/>
  <c r="B345" i="5"/>
  <c r="C345" i="5"/>
  <c r="D345" i="5"/>
  <c r="E345" i="5"/>
  <c r="F345" i="5"/>
  <c r="G345" i="5"/>
  <c r="H345" i="5"/>
  <c r="I345" i="5"/>
  <c r="J345" i="5"/>
  <c r="K345" i="5"/>
  <c r="L345" i="5"/>
  <c r="M345" i="5"/>
  <c r="N345" i="5"/>
  <c r="O345" i="5"/>
  <c r="P345" i="5"/>
  <c r="Q345" i="5"/>
  <c r="R345" i="5"/>
  <c r="S345" i="5"/>
  <c r="B346" i="5"/>
  <c r="C346" i="5"/>
  <c r="D346" i="5"/>
  <c r="E346" i="5"/>
  <c r="F346" i="5"/>
  <c r="G346" i="5"/>
  <c r="H346" i="5"/>
  <c r="I346" i="5"/>
  <c r="J346" i="5"/>
  <c r="K346" i="5"/>
  <c r="L346" i="5"/>
  <c r="M346" i="5"/>
  <c r="N346" i="5"/>
  <c r="O346" i="5"/>
  <c r="P346" i="5"/>
  <c r="Q346" i="5"/>
  <c r="R346" i="5"/>
  <c r="S346" i="5"/>
  <c r="B347" i="5"/>
  <c r="C347" i="5"/>
  <c r="D347" i="5"/>
  <c r="E347" i="5"/>
  <c r="F347" i="5"/>
  <c r="G347" i="5"/>
  <c r="H347" i="5"/>
  <c r="I347" i="5"/>
  <c r="J347" i="5"/>
  <c r="K347" i="5"/>
  <c r="L347" i="5"/>
  <c r="M347" i="5"/>
  <c r="N347" i="5"/>
  <c r="O347" i="5"/>
  <c r="P347" i="5"/>
  <c r="Q347" i="5"/>
  <c r="R347" i="5"/>
  <c r="S347" i="5"/>
  <c r="B348" i="5"/>
  <c r="C348" i="5"/>
  <c r="D348" i="5"/>
  <c r="E348" i="5"/>
  <c r="F348" i="5"/>
  <c r="G348" i="5"/>
  <c r="H348" i="5"/>
  <c r="I348" i="5"/>
  <c r="J348" i="5"/>
  <c r="K348" i="5"/>
  <c r="L348" i="5"/>
  <c r="M348" i="5"/>
  <c r="N348" i="5"/>
  <c r="O348" i="5"/>
  <c r="P348" i="5"/>
  <c r="Q348" i="5"/>
  <c r="R348" i="5"/>
  <c r="S348" i="5"/>
  <c r="B349" i="5"/>
  <c r="C349" i="5"/>
  <c r="D349" i="5"/>
  <c r="E349" i="5"/>
  <c r="F349" i="5"/>
  <c r="G349" i="5"/>
  <c r="H349" i="5"/>
  <c r="I349" i="5"/>
  <c r="J349" i="5"/>
  <c r="K349" i="5"/>
  <c r="L349" i="5"/>
  <c r="M349" i="5"/>
  <c r="N349" i="5"/>
  <c r="O349" i="5"/>
  <c r="P349" i="5"/>
  <c r="Q349" i="5"/>
  <c r="R349" i="5"/>
  <c r="S349" i="5"/>
  <c r="B350" i="5"/>
  <c r="C350" i="5"/>
  <c r="D350" i="5"/>
  <c r="E350" i="5"/>
  <c r="F350" i="5"/>
  <c r="G350" i="5"/>
  <c r="H350" i="5"/>
  <c r="I350" i="5"/>
  <c r="J350" i="5"/>
  <c r="K350" i="5"/>
  <c r="L350" i="5"/>
  <c r="M350" i="5"/>
  <c r="N350" i="5"/>
  <c r="O350" i="5"/>
  <c r="P350" i="5"/>
  <c r="Q350" i="5"/>
  <c r="R350" i="5"/>
  <c r="S350" i="5"/>
  <c r="B351" i="5"/>
  <c r="C351" i="5"/>
  <c r="D351" i="5"/>
  <c r="E351" i="5"/>
  <c r="F351" i="5"/>
  <c r="G351" i="5"/>
  <c r="H351" i="5"/>
  <c r="I351" i="5"/>
  <c r="J351" i="5"/>
  <c r="K351" i="5"/>
  <c r="L351" i="5"/>
  <c r="M351" i="5"/>
  <c r="N351" i="5"/>
  <c r="O351" i="5"/>
  <c r="P351" i="5"/>
  <c r="Q351" i="5"/>
  <c r="R351" i="5"/>
  <c r="S351" i="5"/>
  <c r="B352" i="5"/>
  <c r="C352" i="5"/>
  <c r="D352" i="5"/>
  <c r="E352" i="5"/>
  <c r="F352" i="5"/>
  <c r="G352" i="5"/>
  <c r="H352" i="5"/>
  <c r="I352" i="5"/>
  <c r="J352" i="5"/>
  <c r="K352" i="5"/>
  <c r="L352" i="5"/>
  <c r="M352" i="5"/>
  <c r="N352" i="5"/>
  <c r="O352" i="5"/>
  <c r="P352" i="5"/>
  <c r="Q352" i="5"/>
  <c r="R352" i="5"/>
  <c r="S352" i="5"/>
  <c r="B353" i="5"/>
  <c r="C353" i="5"/>
  <c r="D353" i="5"/>
  <c r="E353" i="5"/>
  <c r="F353" i="5"/>
  <c r="G353" i="5"/>
  <c r="H353" i="5"/>
  <c r="I353" i="5"/>
  <c r="J353" i="5"/>
  <c r="K353" i="5"/>
  <c r="L353" i="5"/>
  <c r="M353" i="5"/>
  <c r="N353" i="5"/>
  <c r="O353" i="5"/>
  <c r="P353" i="5"/>
  <c r="Q353" i="5"/>
  <c r="R353" i="5"/>
  <c r="S353" i="5"/>
  <c r="B354" i="5"/>
  <c r="C354" i="5"/>
  <c r="D354" i="5"/>
  <c r="E354" i="5"/>
  <c r="F354" i="5"/>
  <c r="G354" i="5"/>
  <c r="H354" i="5"/>
  <c r="I354" i="5"/>
  <c r="J354" i="5"/>
  <c r="K354" i="5"/>
  <c r="L354" i="5"/>
  <c r="M354" i="5"/>
  <c r="N354" i="5"/>
  <c r="O354" i="5"/>
  <c r="P354" i="5"/>
  <c r="Q354" i="5"/>
  <c r="R354" i="5"/>
  <c r="S354" i="5"/>
  <c r="B355" i="5"/>
  <c r="C355" i="5"/>
  <c r="D355" i="5"/>
  <c r="E355" i="5"/>
  <c r="F355" i="5"/>
  <c r="G355" i="5"/>
  <c r="H355" i="5"/>
  <c r="I355" i="5"/>
  <c r="J355" i="5"/>
  <c r="K355" i="5"/>
  <c r="L355" i="5"/>
  <c r="M355" i="5"/>
  <c r="N355" i="5"/>
  <c r="O355" i="5"/>
  <c r="P355" i="5"/>
  <c r="Q355" i="5"/>
  <c r="R355" i="5"/>
  <c r="S355" i="5"/>
  <c r="B356" i="5"/>
  <c r="C356" i="5"/>
  <c r="D356" i="5"/>
  <c r="E356" i="5"/>
  <c r="F356" i="5"/>
  <c r="G356" i="5"/>
  <c r="H356" i="5"/>
  <c r="I356" i="5"/>
  <c r="J356" i="5"/>
  <c r="K356" i="5"/>
  <c r="L356" i="5"/>
  <c r="M356" i="5"/>
  <c r="N356" i="5"/>
  <c r="O356" i="5"/>
  <c r="P356" i="5"/>
  <c r="Q356" i="5"/>
  <c r="R356" i="5"/>
  <c r="S356" i="5"/>
  <c r="B357" i="5"/>
  <c r="C357" i="5"/>
  <c r="D357" i="5"/>
  <c r="E357" i="5"/>
  <c r="F357" i="5"/>
  <c r="G357" i="5"/>
  <c r="H357" i="5"/>
  <c r="I357" i="5"/>
  <c r="J357" i="5"/>
  <c r="K357" i="5"/>
  <c r="L357" i="5"/>
  <c r="M357" i="5"/>
  <c r="N357" i="5"/>
  <c r="O357" i="5"/>
  <c r="P357" i="5"/>
  <c r="Q357" i="5"/>
  <c r="R357" i="5"/>
  <c r="S357" i="5"/>
  <c r="B358" i="5"/>
  <c r="C358" i="5"/>
  <c r="D358" i="5"/>
  <c r="E358" i="5"/>
  <c r="F358" i="5"/>
  <c r="G358" i="5"/>
  <c r="H358" i="5"/>
  <c r="I358" i="5"/>
  <c r="J358" i="5"/>
  <c r="K358" i="5"/>
  <c r="L358" i="5"/>
  <c r="M358" i="5"/>
  <c r="N358" i="5"/>
  <c r="O358" i="5"/>
  <c r="P358" i="5"/>
  <c r="Q358" i="5"/>
  <c r="R358" i="5"/>
  <c r="S358" i="5"/>
  <c r="B359" i="5"/>
  <c r="C359" i="5"/>
  <c r="D359" i="5"/>
  <c r="E359" i="5"/>
  <c r="F359" i="5"/>
  <c r="G359" i="5"/>
  <c r="H359" i="5"/>
  <c r="I359" i="5"/>
  <c r="J359" i="5"/>
  <c r="K359" i="5"/>
  <c r="L359" i="5"/>
  <c r="M359" i="5"/>
  <c r="N359" i="5"/>
  <c r="O359" i="5"/>
  <c r="P359" i="5"/>
  <c r="Q359" i="5"/>
  <c r="R359" i="5"/>
  <c r="S359" i="5"/>
  <c r="B360" i="5"/>
  <c r="C360" i="5"/>
  <c r="D360" i="5"/>
  <c r="E360" i="5"/>
  <c r="F360" i="5"/>
  <c r="G360" i="5"/>
  <c r="H360" i="5"/>
  <c r="I360" i="5"/>
  <c r="J360" i="5"/>
  <c r="K360" i="5"/>
  <c r="L360" i="5"/>
  <c r="M360" i="5"/>
  <c r="N360" i="5"/>
  <c r="O360" i="5"/>
  <c r="P360" i="5"/>
  <c r="Q360" i="5"/>
  <c r="R360" i="5"/>
  <c r="S360" i="5"/>
  <c r="B361" i="5"/>
  <c r="C361" i="5"/>
  <c r="D361" i="5"/>
  <c r="E361" i="5"/>
  <c r="F361" i="5"/>
  <c r="G361" i="5"/>
  <c r="H361" i="5"/>
  <c r="I361" i="5"/>
  <c r="J361" i="5"/>
  <c r="K361" i="5"/>
  <c r="L361" i="5"/>
  <c r="M361" i="5"/>
  <c r="N361" i="5"/>
  <c r="O361" i="5"/>
  <c r="P361" i="5"/>
  <c r="Q361" i="5"/>
  <c r="R361" i="5"/>
  <c r="S361" i="5"/>
  <c r="B362" i="5"/>
  <c r="C362" i="5"/>
  <c r="D362" i="5"/>
  <c r="E362" i="5"/>
  <c r="F362" i="5"/>
  <c r="G362" i="5"/>
  <c r="H362" i="5"/>
  <c r="I362" i="5"/>
  <c r="J362" i="5"/>
  <c r="K362" i="5"/>
  <c r="L362" i="5"/>
  <c r="M362" i="5"/>
  <c r="N362" i="5"/>
  <c r="O362" i="5"/>
  <c r="P362" i="5"/>
  <c r="Q362" i="5"/>
  <c r="R362" i="5"/>
  <c r="S362" i="5"/>
  <c r="B363" i="5"/>
  <c r="C363" i="5"/>
  <c r="D363" i="5"/>
  <c r="E363" i="5"/>
  <c r="F363" i="5"/>
  <c r="G363" i="5"/>
  <c r="H363" i="5"/>
  <c r="I363" i="5"/>
  <c r="J363" i="5"/>
  <c r="K363" i="5"/>
  <c r="L363" i="5"/>
  <c r="M363" i="5"/>
  <c r="N363" i="5"/>
  <c r="O363" i="5"/>
  <c r="P363" i="5"/>
  <c r="Q363" i="5"/>
  <c r="R363" i="5"/>
  <c r="S363" i="5"/>
  <c r="B364" i="5"/>
  <c r="C364" i="5"/>
  <c r="D364" i="5"/>
  <c r="E364" i="5"/>
  <c r="F364" i="5"/>
  <c r="G364" i="5"/>
  <c r="H364" i="5"/>
  <c r="I364" i="5"/>
  <c r="J364" i="5"/>
  <c r="K364" i="5"/>
  <c r="L364" i="5"/>
  <c r="M364" i="5"/>
  <c r="N364" i="5"/>
  <c r="O364" i="5"/>
  <c r="P364" i="5"/>
  <c r="Q364" i="5"/>
  <c r="R364" i="5"/>
  <c r="S364" i="5"/>
  <c r="B365" i="5"/>
  <c r="C365" i="5"/>
  <c r="D365" i="5"/>
  <c r="E365" i="5"/>
  <c r="F365" i="5"/>
  <c r="G365" i="5"/>
  <c r="H365" i="5"/>
  <c r="I365" i="5"/>
  <c r="J365" i="5"/>
  <c r="K365" i="5"/>
  <c r="L365" i="5"/>
  <c r="M365" i="5"/>
  <c r="N365" i="5"/>
  <c r="O365" i="5"/>
  <c r="P365" i="5"/>
  <c r="Q365" i="5"/>
  <c r="R365" i="5"/>
  <c r="S365" i="5"/>
  <c r="B366" i="5"/>
  <c r="C366" i="5"/>
  <c r="D366" i="5"/>
  <c r="E366" i="5"/>
  <c r="F366" i="5"/>
  <c r="G366" i="5"/>
  <c r="H366" i="5"/>
  <c r="I366" i="5"/>
  <c r="J366" i="5"/>
  <c r="K366" i="5"/>
  <c r="L366" i="5"/>
  <c r="M366" i="5"/>
  <c r="N366" i="5"/>
  <c r="O366" i="5"/>
  <c r="P366" i="5"/>
  <c r="Q366" i="5"/>
  <c r="R366" i="5"/>
  <c r="S366" i="5"/>
  <c r="B367" i="5"/>
  <c r="C367" i="5"/>
  <c r="D367" i="5"/>
  <c r="E367" i="5"/>
  <c r="F367" i="5"/>
  <c r="G367" i="5"/>
  <c r="H367" i="5"/>
  <c r="I367" i="5"/>
  <c r="J367" i="5"/>
  <c r="K367" i="5"/>
  <c r="L367" i="5"/>
  <c r="M367" i="5"/>
  <c r="N367" i="5"/>
  <c r="O367" i="5"/>
  <c r="P367" i="5"/>
  <c r="Q367" i="5"/>
  <c r="R367" i="5"/>
  <c r="S367" i="5"/>
  <c r="B368" i="5"/>
  <c r="C368" i="5"/>
  <c r="D368" i="5"/>
  <c r="E368" i="5"/>
  <c r="F368" i="5"/>
  <c r="G368" i="5"/>
  <c r="H368" i="5"/>
  <c r="I368" i="5"/>
  <c r="J368" i="5"/>
  <c r="K368" i="5"/>
  <c r="L368" i="5"/>
  <c r="M368" i="5"/>
  <c r="N368" i="5"/>
  <c r="O368" i="5"/>
  <c r="P368" i="5"/>
  <c r="Q368" i="5"/>
  <c r="R368" i="5"/>
  <c r="S368" i="5"/>
  <c r="B369" i="5"/>
  <c r="C369" i="5"/>
  <c r="D369" i="5"/>
  <c r="E369" i="5"/>
  <c r="F369" i="5"/>
  <c r="G369" i="5"/>
  <c r="H369" i="5"/>
  <c r="I369" i="5"/>
  <c r="J369" i="5"/>
  <c r="K369" i="5"/>
  <c r="L369" i="5"/>
  <c r="M369" i="5"/>
  <c r="N369" i="5"/>
  <c r="O369" i="5"/>
  <c r="P369" i="5"/>
  <c r="Q369" i="5"/>
  <c r="R369" i="5"/>
  <c r="S369" i="5"/>
  <c r="B370" i="5"/>
  <c r="C370" i="5"/>
  <c r="D370" i="5"/>
  <c r="E370" i="5"/>
  <c r="F370" i="5"/>
  <c r="G370" i="5"/>
  <c r="H370" i="5"/>
  <c r="I370" i="5"/>
  <c r="J370" i="5"/>
  <c r="K370" i="5"/>
  <c r="L370" i="5"/>
  <c r="M370" i="5"/>
  <c r="N370" i="5"/>
  <c r="O370" i="5"/>
  <c r="P370" i="5"/>
  <c r="Q370" i="5"/>
  <c r="R370" i="5"/>
  <c r="S370" i="5"/>
  <c r="B371" i="5"/>
  <c r="C371" i="5"/>
  <c r="D371" i="5"/>
  <c r="E371" i="5"/>
  <c r="F371" i="5"/>
  <c r="G371" i="5"/>
  <c r="H371" i="5"/>
  <c r="I371" i="5"/>
  <c r="J371" i="5"/>
  <c r="K371" i="5"/>
  <c r="L371" i="5"/>
  <c r="M371" i="5"/>
  <c r="N371" i="5"/>
  <c r="O371" i="5"/>
  <c r="P371" i="5"/>
  <c r="Q371" i="5"/>
  <c r="R371" i="5"/>
  <c r="S371" i="5"/>
  <c r="B372" i="5"/>
  <c r="C372" i="5"/>
  <c r="D372" i="5"/>
  <c r="E372" i="5"/>
  <c r="F372" i="5"/>
  <c r="G372" i="5"/>
  <c r="H372" i="5"/>
  <c r="I372" i="5"/>
  <c r="J372" i="5"/>
  <c r="K372" i="5"/>
  <c r="L372" i="5"/>
  <c r="M372" i="5"/>
  <c r="N372" i="5"/>
  <c r="O372" i="5"/>
  <c r="P372" i="5"/>
  <c r="Q372" i="5"/>
  <c r="R372" i="5"/>
  <c r="S372" i="5"/>
  <c r="B373" i="5"/>
  <c r="C373" i="5"/>
  <c r="D373" i="5"/>
  <c r="E373" i="5"/>
  <c r="F373" i="5"/>
  <c r="G373" i="5"/>
  <c r="H373" i="5"/>
  <c r="I373" i="5"/>
  <c r="J373" i="5"/>
  <c r="K373" i="5"/>
  <c r="L373" i="5"/>
  <c r="M373" i="5"/>
  <c r="N373" i="5"/>
  <c r="O373" i="5"/>
  <c r="P373" i="5"/>
  <c r="Q373" i="5"/>
  <c r="R373" i="5"/>
  <c r="S373" i="5"/>
  <c r="B374" i="5"/>
  <c r="C374" i="5"/>
  <c r="D374" i="5"/>
  <c r="E374" i="5"/>
  <c r="F374" i="5"/>
  <c r="G374" i="5"/>
  <c r="H374" i="5"/>
  <c r="I374" i="5"/>
  <c r="J374" i="5"/>
  <c r="K374" i="5"/>
  <c r="L374" i="5"/>
  <c r="M374" i="5"/>
  <c r="N374" i="5"/>
  <c r="O374" i="5"/>
  <c r="P374" i="5"/>
  <c r="Q374" i="5"/>
  <c r="R374" i="5"/>
  <c r="S374" i="5"/>
  <c r="B375" i="5"/>
  <c r="C375" i="5"/>
  <c r="D375" i="5"/>
  <c r="E375" i="5"/>
  <c r="F375" i="5"/>
  <c r="G375" i="5"/>
  <c r="H375" i="5"/>
  <c r="I375" i="5"/>
  <c r="J375" i="5"/>
  <c r="K375" i="5"/>
  <c r="L375" i="5"/>
  <c r="M375" i="5"/>
  <c r="N375" i="5"/>
  <c r="O375" i="5"/>
  <c r="P375" i="5"/>
  <c r="Q375" i="5"/>
  <c r="R375" i="5"/>
  <c r="S375" i="5"/>
  <c r="B376" i="5"/>
  <c r="C376" i="5"/>
  <c r="D376" i="5"/>
  <c r="E376" i="5"/>
  <c r="F376" i="5"/>
  <c r="G376" i="5"/>
  <c r="H376" i="5"/>
  <c r="I376" i="5"/>
  <c r="J376" i="5"/>
  <c r="K376" i="5"/>
  <c r="L376" i="5"/>
  <c r="M376" i="5"/>
  <c r="N376" i="5"/>
  <c r="O376" i="5"/>
  <c r="P376" i="5"/>
  <c r="Q376" i="5"/>
  <c r="R376" i="5"/>
  <c r="S376" i="5"/>
  <c r="B377" i="5"/>
  <c r="C377" i="5"/>
  <c r="D377" i="5"/>
  <c r="E377" i="5"/>
  <c r="F377" i="5"/>
  <c r="G377" i="5"/>
  <c r="H377" i="5"/>
  <c r="I377" i="5"/>
  <c r="J377" i="5"/>
  <c r="K377" i="5"/>
  <c r="L377" i="5"/>
  <c r="M377" i="5"/>
  <c r="N377" i="5"/>
  <c r="O377" i="5"/>
  <c r="P377" i="5"/>
  <c r="Q377" i="5"/>
  <c r="R377" i="5"/>
  <c r="S377" i="5"/>
  <c r="B378" i="5"/>
  <c r="C378" i="5"/>
  <c r="D378" i="5"/>
  <c r="E378" i="5"/>
  <c r="F378" i="5"/>
  <c r="G378" i="5"/>
  <c r="H378" i="5"/>
  <c r="I378" i="5"/>
  <c r="J378" i="5"/>
  <c r="K378" i="5"/>
  <c r="L378" i="5"/>
  <c r="M378" i="5"/>
  <c r="N378" i="5"/>
  <c r="O378" i="5"/>
  <c r="P378" i="5"/>
  <c r="Q378" i="5"/>
  <c r="R378" i="5"/>
  <c r="S378" i="5"/>
  <c r="B379" i="5"/>
  <c r="C379" i="5"/>
  <c r="D379" i="5"/>
  <c r="E379" i="5"/>
  <c r="F379" i="5"/>
  <c r="G379" i="5"/>
  <c r="H379" i="5"/>
  <c r="I379" i="5"/>
  <c r="J379" i="5"/>
  <c r="K379" i="5"/>
  <c r="L379" i="5"/>
  <c r="M379" i="5"/>
  <c r="N379" i="5"/>
  <c r="O379" i="5"/>
  <c r="P379" i="5"/>
  <c r="Q379" i="5"/>
  <c r="R379" i="5"/>
  <c r="S379" i="5"/>
  <c r="B380" i="5"/>
  <c r="C380" i="5"/>
  <c r="D380" i="5"/>
  <c r="E380" i="5"/>
  <c r="F380" i="5"/>
  <c r="G380" i="5"/>
  <c r="H380" i="5"/>
  <c r="I380" i="5"/>
  <c r="J380" i="5"/>
  <c r="K380" i="5"/>
  <c r="L380" i="5"/>
  <c r="M380" i="5"/>
  <c r="N380" i="5"/>
  <c r="O380" i="5"/>
  <c r="P380" i="5"/>
  <c r="Q380" i="5"/>
  <c r="R380" i="5"/>
  <c r="S380" i="5"/>
  <c r="B381" i="5"/>
  <c r="C381" i="5"/>
  <c r="D381" i="5"/>
  <c r="E381" i="5"/>
  <c r="F381" i="5"/>
  <c r="G381" i="5"/>
  <c r="H381" i="5"/>
  <c r="I381" i="5"/>
  <c r="J381" i="5"/>
  <c r="K381" i="5"/>
  <c r="L381" i="5"/>
  <c r="M381" i="5"/>
  <c r="N381" i="5"/>
  <c r="O381" i="5"/>
  <c r="P381" i="5"/>
  <c r="Q381" i="5"/>
  <c r="R381" i="5"/>
  <c r="S381" i="5"/>
  <c r="B382" i="5"/>
  <c r="C382" i="5"/>
  <c r="D382" i="5"/>
  <c r="E382" i="5"/>
  <c r="F382" i="5"/>
  <c r="G382" i="5"/>
  <c r="H382" i="5"/>
  <c r="I382" i="5"/>
  <c r="J382" i="5"/>
  <c r="K382" i="5"/>
  <c r="L382" i="5"/>
  <c r="M382" i="5"/>
  <c r="N382" i="5"/>
  <c r="O382" i="5"/>
  <c r="P382" i="5"/>
  <c r="Q382" i="5"/>
  <c r="R382" i="5"/>
  <c r="S382" i="5"/>
  <c r="B383" i="5"/>
  <c r="C383" i="5"/>
  <c r="D383" i="5"/>
  <c r="E383" i="5"/>
  <c r="F383" i="5"/>
  <c r="G383" i="5"/>
  <c r="H383" i="5"/>
  <c r="I383" i="5"/>
  <c r="J383" i="5"/>
  <c r="K383" i="5"/>
  <c r="L383" i="5"/>
  <c r="M383" i="5"/>
  <c r="N383" i="5"/>
  <c r="O383" i="5"/>
  <c r="P383" i="5"/>
  <c r="Q383" i="5"/>
  <c r="R383" i="5"/>
  <c r="S383" i="5"/>
  <c r="B384" i="5"/>
  <c r="C384" i="5"/>
  <c r="D384" i="5"/>
  <c r="E384" i="5"/>
  <c r="F384" i="5"/>
  <c r="G384" i="5"/>
  <c r="H384" i="5"/>
  <c r="I384" i="5"/>
  <c r="J384" i="5"/>
  <c r="K384" i="5"/>
  <c r="L384" i="5"/>
  <c r="M384" i="5"/>
  <c r="N384" i="5"/>
  <c r="O384" i="5"/>
  <c r="P384" i="5"/>
  <c r="Q384" i="5"/>
  <c r="R384" i="5"/>
  <c r="S384" i="5"/>
  <c r="B385" i="5"/>
  <c r="C385" i="5"/>
  <c r="D385" i="5"/>
  <c r="E385" i="5"/>
  <c r="F385" i="5"/>
  <c r="G385" i="5"/>
  <c r="H385" i="5"/>
  <c r="I385" i="5"/>
  <c r="J385" i="5"/>
  <c r="K385" i="5"/>
  <c r="L385" i="5"/>
  <c r="M385" i="5"/>
  <c r="N385" i="5"/>
  <c r="O385" i="5"/>
  <c r="P385" i="5"/>
  <c r="Q385" i="5"/>
  <c r="R385" i="5"/>
  <c r="S385" i="5"/>
  <c r="B386" i="5"/>
  <c r="C386" i="5"/>
  <c r="D386" i="5"/>
  <c r="E386" i="5"/>
  <c r="F386" i="5"/>
  <c r="G386" i="5"/>
  <c r="H386" i="5"/>
  <c r="I386" i="5"/>
  <c r="J386" i="5"/>
  <c r="K386" i="5"/>
  <c r="L386" i="5"/>
  <c r="M386" i="5"/>
  <c r="N386" i="5"/>
  <c r="O386" i="5"/>
  <c r="P386" i="5"/>
  <c r="Q386" i="5"/>
  <c r="R386" i="5"/>
  <c r="S386" i="5"/>
  <c r="B387" i="5"/>
  <c r="C387" i="5"/>
  <c r="D387" i="5"/>
  <c r="E387" i="5"/>
  <c r="F387" i="5"/>
  <c r="G387" i="5"/>
  <c r="H387" i="5"/>
  <c r="I387" i="5"/>
  <c r="J387" i="5"/>
  <c r="K387" i="5"/>
  <c r="L387" i="5"/>
  <c r="M387" i="5"/>
  <c r="N387" i="5"/>
  <c r="O387" i="5"/>
  <c r="P387" i="5"/>
  <c r="Q387" i="5"/>
  <c r="R387" i="5"/>
  <c r="S387" i="5"/>
  <c r="B388" i="5"/>
  <c r="C388" i="5"/>
  <c r="D388" i="5"/>
  <c r="E388" i="5"/>
  <c r="F388" i="5"/>
  <c r="G388" i="5"/>
  <c r="H388" i="5"/>
  <c r="I388" i="5"/>
  <c r="J388" i="5"/>
  <c r="K388" i="5"/>
  <c r="L388" i="5"/>
  <c r="M388" i="5"/>
  <c r="N388" i="5"/>
  <c r="O388" i="5"/>
  <c r="P388" i="5"/>
  <c r="Q388" i="5"/>
  <c r="R388" i="5"/>
  <c r="S388" i="5"/>
  <c r="B389" i="5"/>
  <c r="C389" i="5"/>
  <c r="D389" i="5"/>
  <c r="E389" i="5"/>
  <c r="F389" i="5"/>
  <c r="G389" i="5"/>
  <c r="H389" i="5"/>
  <c r="I389" i="5"/>
  <c r="J389" i="5"/>
  <c r="K389" i="5"/>
  <c r="L389" i="5"/>
  <c r="M389" i="5"/>
  <c r="N389" i="5"/>
  <c r="O389" i="5"/>
  <c r="P389" i="5"/>
  <c r="Q389" i="5"/>
  <c r="R389" i="5"/>
  <c r="S389" i="5"/>
  <c r="B390" i="5"/>
  <c r="C390" i="5"/>
  <c r="D390" i="5"/>
  <c r="E390" i="5"/>
  <c r="F390" i="5"/>
  <c r="G390" i="5"/>
  <c r="H390" i="5"/>
  <c r="I390" i="5"/>
  <c r="J390" i="5"/>
  <c r="K390" i="5"/>
  <c r="L390" i="5"/>
  <c r="M390" i="5"/>
  <c r="N390" i="5"/>
  <c r="O390" i="5"/>
  <c r="P390" i="5"/>
  <c r="Q390" i="5"/>
  <c r="R390" i="5"/>
  <c r="S390" i="5"/>
  <c r="B391" i="5"/>
  <c r="C391" i="5"/>
  <c r="D391" i="5"/>
  <c r="E391" i="5"/>
  <c r="F391" i="5"/>
  <c r="G391" i="5"/>
  <c r="H391" i="5"/>
  <c r="I391" i="5"/>
  <c r="J391" i="5"/>
  <c r="K391" i="5"/>
  <c r="L391" i="5"/>
  <c r="M391" i="5"/>
  <c r="N391" i="5"/>
  <c r="O391" i="5"/>
  <c r="P391" i="5"/>
  <c r="Q391" i="5"/>
  <c r="R391" i="5"/>
  <c r="S391" i="5"/>
  <c r="B392" i="5"/>
  <c r="C392" i="5"/>
  <c r="D392" i="5"/>
  <c r="E392" i="5"/>
  <c r="F392" i="5"/>
  <c r="G392" i="5"/>
  <c r="H392" i="5"/>
  <c r="I392" i="5"/>
  <c r="J392" i="5"/>
  <c r="K392" i="5"/>
  <c r="L392" i="5"/>
  <c r="M392" i="5"/>
  <c r="N392" i="5"/>
  <c r="O392" i="5"/>
  <c r="P392" i="5"/>
  <c r="Q392" i="5"/>
  <c r="R392" i="5"/>
  <c r="S392" i="5"/>
  <c r="B393" i="5"/>
  <c r="C393" i="5"/>
  <c r="D393" i="5"/>
  <c r="E393" i="5"/>
  <c r="F393" i="5"/>
  <c r="G393" i="5"/>
  <c r="H393" i="5"/>
  <c r="I393" i="5"/>
  <c r="J393" i="5"/>
  <c r="K393" i="5"/>
  <c r="L393" i="5"/>
  <c r="M393" i="5"/>
  <c r="N393" i="5"/>
  <c r="O393" i="5"/>
  <c r="P393" i="5"/>
  <c r="Q393" i="5"/>
  <c r="R393" i="5"/>
  <c r="S393" i="5"/>
  <c r="B394" i="5"/>
  <c r="C394" i="5"/>
  <c r="D394" i="5"/>
  <c r="E394" i="5"/>
  <c r="F394" i="5"/>
  <c r="G394" i="5"/>
  <c r="H394" i="5"/>
  <c r="I394" i="5"/>
  <c r="J394" i="5"/>
  <c r="K394" i="5"/>
  <c r="L394" i="5"/>
  <c r="M394" i="5"/>
  <c r="N394" i="5"/>
  <c r="O394" i="5"/>
  <c r="P394" i="5"/>
  <c r="Q394" i="5"/>
  <c r="R394" i="5"/>
  <c r="S394" i="5"/>
  <c r="B395" i="5"/>
  <c r="C395" i="5"/>
  <c r="D395" i="5"/>
  <c r="E395" i="5"/>
  <c r="F395" i="5"/>
  <c r="G395" i="5"/>
  <c r="H395" i="5"/>
  <c r="I395" i="5"/>
  <c r="J395" i="5"/>
  <c r="K395" i="5"/>
  <c r="L395" i="5"/>
  <c r="M395" i="5"/>
  <c r="N395" i="5"/>
  <c r="O395" i="5"/>
  <c r="P395" i="5"/>
  <c r="Q395" i="5"/>
  <c r="R395" i="5"/>
  <c r="S395" i="5"/>
  <c r="B396" i="5"/>
  <c r="C396" i="5"/>
  <c r="D396" i="5"/>
  <c r="E396" i="5"/>
  <c r="F396" i="5"/>
  <c r="G396" i="5"/>
  <c r="H396" i="5"/>
  <c r="I396" i="5"/>
  <c r="J396" i="5"/>
  <c r="K396" i="5"/>
  <c r="L396" i="5"/>
  <c r="M396" i="5"/>
  <c r="N396" i="5"/>
  <c r="O396" i="5"/>
  <c r="P396" i="5"/>
  <c r="Q396" i="5"/>
  <c r="R396" i="5"/>
  <c r="S396" i="5"/>
  <c r="B397" i="5"/>
  <c r="C397" i="5"/>
  <c r="D397" i="5"/>
  <c r="E397" i="5"/>
  <c r="F397" i="5"/>
  <c r="G397" i="5"/>
  <c r="H397" i="5"/>
  <c r="I397" i="5"/>
  <c r="J397" i="5"/>
  <c r="K397" i="5"/>
  <c r="L397" i="5"/>
  <c r="M397" i="5"/>
  <c r="N397" i="5"/>
  <c r="O397" i="5"/>
  <c r="P397" i="5"/>
  <c r="Q397" i="5"/>
  <c r="R397" i="5"/>
  <c r="S397" i="5"/>
  <c r="B398" i="5"/>
  <c r="C398" i="5"/>
  <c r="D398" i="5"/>
  <c r="E398" i="5"/>
  <c r="F398" i="5"/>
  <c r="G398" i="5"/>
  <c r="H398" i="5"/>
  <c r="I398" i="5"/>
  <c r="J398" i="5"/>
  <c r="K398" i="5"/>
  <c r="L398" i="5"/>
  <c r="M398" i="5"/>
  <c r="N398" i="5"/>
  <c r="O398" i="5"/>
  <c r="P398" i="5"/>
  <c r="Q398" i="5"/>
  <c r="R398" i="5"/>
  <c r="S398" i="5"/>
  <c r="B399" i="5"/>
  <c r="C399" i="5"/>
  <c r="D399" i="5"/>
  <c r="E399" i="5"/>
  <c r="F399" i="5"/>
  <c r="G399" i="5"/>
  <c r="H399" i="5"/>
  <c r="I399" i="5"/>
  <c r="J399" i="5"/>
  <c r="K399" i="5"/>
  <c r="L399" i="5"/>
  <c r="M399" i="5"/>
  <c r="N399" i="5"/>
  <c r="O399" i="5"/>
  <c r="P399" i="5"/>
  <c r="Q399" i="5"/>
  <c r="R399" i="5"/>
  <c r="S399" i="5"/>
  <c r="B400" i="5"/>
  <c r="C400" i="5"/>
  <c r="D400" i="5"/>
  <c r="E400" i="5"/>
  <c r="F400" i="5"/>
  <c r="G400" i="5"/>
  <c r="H400" i="5"/>
  <c r="I400" i="5"/>
  <c r="J400" i="5"/>
  <c r="K400" i="5"/>
  <c r="L400" i="5"/>
  <c r="M400" i="5"/>
  <c r="N400" i="5"/>
  <c r="O400" i="5"/>
  <c r="P400" i="5"/>
  <c r="Q400" i="5"/>
  <c r="R400" i="5"/>
  <c r="S400" i="5"/>
  <c r="B401" i="5"/>
  <c r="C401" i="5"/>
  <c r="D401" i="5"/>
  <c r="E401" i="5"/>
  <c r="F401" i="5"/>
  <c r="G401" i="5"/>
  <c r="H401" i="5"/>
  <c r="I401" i="5"/>
  <c r="J401" i="5"/>
  <c r="K401" i="5"/>
  <c r="L401" i="5"/>
  <c r="M401" i="5"/>
  <c r="N401" i="5"/>
  <c r="O401" i="5"/>
  <c r="P401" i="5"/>
  <c r="Q401" i="5"/>
  <c r="R401" i="5"/>
  <c r="S401" i="5"/>
  <c r="B402" i="5"/>
  <c r="C402" i="5"/>
  <c r="D402" i="5"/>
  <c r="E402" i="5"/>
  <c r="F402" i="5"/>
  <c r="G402" i="5"/>
  <c r="H402" i="5"/>
  <c r="I402" i="5"/>
  <c r="J402" i="5"/>
  <c r="K402" i="5"/>
  <c r="L402" i="5"/>
  <c r="M402" i="5"/>
  <c r="N402" i="5"/>
  <c r="O402" i="5"/>
  <c r="P402" i="5"/>
  <c r="Q402" i="5"/>
  <c r="R402" i="5"/>
  <c r="S402" i="5"/>
  <c r="B403" i="5"/>
  <c r="C403" i="5"/>
  <c r="D403" i="5"/>
  <c r="E403" i="5"/>
  <c r="F403" i="5"/>
  <c r="G403" i="5"/>
  <c r="H403" i="5"/>
  <c r="I403" i="5"/>
  <c r="J403" i="5"/>
  <c r="K403" i="5"/>
  <c r="L403" i="5"/>
  <c r="M403" i="5"/>
  <c r="N403" i="5"/>
  <c r="O403" i="5"/>
  <c r="P403" i="5"/>
  <c r="Q403" i="5"/>
  <c r="R403" i="5"/>
  <c r="S403" i="5"/>
  <c r="B404" i="5"/>
  <c r="C404" i="5"/>
  <c r="D404" i="5"/>
  <c r="E404" i="5"/>
  <c r="F404" i="5"/>
  <c r="G404" i="5"/>
  <c r="H404" i="5"/>
  <c r="I404" i="5"/>
  <c r="J404" i="5"/>
  <c r="K404" i="5"/>
  <c r="L404" i="5"/>
  <c r="M404" i="5"/>
  <c r="N404" i="5"/>
  <c r="O404" i="5"/>
  <c r="P404" i="5"/>
  <c r="Q404" i="5"/>
  <c r="R404" i="5"/>
  <c r="S404" i="5"/>
  <c r="B405" i="5"/>
  <c r="C405" i="5"/>
  <c r="D405" i="5"/>
  <c r="E405" i="5"/>
  <c r="F405" i="5"/>
  <c r="G405" i="5"/>
  <c r="H405" i="5"/>
  <c r="I405" i="5"/>
  <c r="J405" i="5"/>
  <c r="K405" i="5"/>
  <c r="L405" i="5"/>
  <c r="M405" i="5"/>
  <c r="N405" i="5"/>
  <c r="O405" i="5"/>
  <c r="P405" i="5"/>
  <c r="Q405" i="5"/>
  <c r="R405" i="5"/>
  <c r="S405" i="5"/>
  <c r="B406" i="5"/>
  <c r="C406" i="5"/>
  <c r="D406" i="5"/>
  <c r="E406" i="5"/>
  <c r="F406" i="5"/>
  <c r="G406" i="5"/>
  <c r="H406" i="5"/>
  <c r="I406" i="5"/>
  <c r="J406" i="5"/>
  <c r="K406" i="5"/>
  <c r="L406" i="5"/>
  <c r="M406" i="5"/>
  <c r="N406" i="5"/>
  <c r="O406" i="5"/>
  <c r="P406" i="5"/>
  <c r="Q406" i="5"/>
  <c r="R406" i="5"/>
  <c r="S406" i="5"/>
  <c r="B407" i="5"/>
  <c r="C407" i="5"/>
  <c r="D407" i="5"/>
  <c r="E407" i="5"/>
  <c r="F407" i="5"/>
  <c r="G407" i="5"/>
  <c r="H407" i="5"/>
  <c r="I407" i="5"/>
  <c r="J407" i="5"/>
  <c r="K407" i="5"/>
  <c r="L407" i="5"/>
  <c r="M407" i="5"/>
  <c r="N407" i="5"/>
  <c r="O407" i="5"/>
  <c r="P407" i="5"/>
  <c r="Q407" i="5"/>
  <c r="R407" i="5"/>
  <c r="S407" i="5"/>
  <c r="C111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B111" i="5"/>
  <c r="AB3" i="5"/>
  <c r="AE3" i="5"/>
  <c r="W285" i="1"/>
  <c r="AQ3" i="5"/>
  <c r="AR3" i="5"/>
  <c r="AS3" i="5"/>
  <c r="AM3" i="5"/>
  <c r="AN3" i="5"/>
  <c r="AO3" i="5"/>
  <c r="AP3" i="5"/>
  <c r="AC3" i="5"/>
  <c r="AD3" i="5"/>
  <c r="AF3" i="5"/>
  <c r="AG3" i="5"/>
  <c r="AH3" i="5"/>
  <c r="AI3" i="5"/>
  <c r="AJ3" i="5"/>
  <c r="AK3" i="5"/>
  <c r="AL3" i="5"/>
  <c r="S20" i="5"/>
  <c r="R19" i="5"/>
  <c r="Q18" i="5"/>
  <c r="P17" i="5"/>
  <c r="O16" i="5"/>
  <c r="N15" i="5"/>
  <c r="M14" i="5"/>
  <c r="L13" i="5"/>
  <c r="K12" i="5"/>
  <c r="J11" i="5"/>
  <c r="I10" i="5"/>
  <c r="H9" i="5"/>
  <c r="G8" i="5"/>
  <c r="F7" i="5"/>
  <c r="E6" i="5"/>
  <c r="D5" i="5"/>
  <c r="C4" i="5"/>
  <c r="B3" i="5"/>
  <c r="AJ2" i="1"/>
  <c r="AK2" i="1"/>
  <c r="AL2" i="1"/>
  <c r="AM2" i="1"/>
  <c r="AN2" i="1"/>
  <c r="AJ3" i="1"/>
  <c r="AK3" i="1"/>
  <c r="AL3" i="1"/>
  <c r="AM3" i="1"/>
  <c r="AN3" i="1"/>
  <c r="AJ4" i="1"/>
  <c r="AK4" i="1"/>
  <c r="AL4" i="1"/>
  <c r="AM4" i="1"/>
  <c r="AN4" i="1"/>
  <c r="AJ5" i="1"/>
  <c r="AK5" i="1"/>
  <c r="AL5" i="1"/>
  <c r="AM5" i="1"/>
  <c r="AN5" i="1"/>
  <c r="AJ6" i="1"/>
  <c r="AK6" i="1"/>
  <c r="AL6" i="1"/>
  <c r="AM6" i="1"/>
  <c r="AN6" i="1"/>
  <c r="AJ7" i="1"/>
  <c r="AK7" i="1"/>
  <c r="AL7" i="1"/>
  <c r="AM7" i="1"/>
  <c r="AN7" i="1"/>
  <c r="AJ8" i="1"/>
  <c r="AK8" i="1"/>
  <c r="AL8" i="1"/>
  <c r="AM8" i="1"/>
  <c r="AN8" i="1"/>
  <c r="AJ9" i="1"/>
  <c r="AK9" i="1"/>
  <c r="AL9" i="1"/>
  <c r="AM9" i="1"/>
  <c r="AN9" i="1"/>
  <c r="AJ10" i="1"/>
  <c r="AK10" i="1"/>
  <c r="AL10" i="1"/>
  <c r="AM10" i="1"/>
  <c r="AN10" i="1"/>
  <c r="AJ11" i="1"/>
  <c r="AK11" i="1"/>
  <c r="AL11" i="1"/>
  <c r="AM11" i="1"/>
  <c r="AN11" i="1"/>
  <c r="AJ12" i="1"/>
  <c r="AK12" i="1"/>
  <c r="AL12" i="1"/>
  <c r="AM12" i="1"/>
  <c r="AN12" i="1"/>
  <c r="AJ13" i="1"/>
  <c r="AK13" i="1"/>
  <c r="AL13" i="1"/>
  <c r="AM13" i="1"/>
  <c r="AN13" i="1"/>
  <c r="AJ14" i="1"/>
  <c r="AK14" i="1"/>
  <c r="AL14" i="1"/>
  <c r="AM14" i="1"/>
  <c r="AN14" i="1"/>
  <c r="AJ15" i="1"/>
  <c r="AK15" i="1"/>
  <c r="AL15" i="1"/>
  <c r="AM15" i="1"/>
  <c r="AN15" i="1"/>
  <c r="AJ16" i="1"/>
  <c r="AK16" i="1"/>
  <c r="AL16" i="1"/>
  <c r="AM16" i="1"/>
  <c r="AN16" i="1"/>
  <c r="AJ17" i="1"/>
  <c r="AK17" i="1"/>
  <c r="AL17" i="1"/>
  <c r="AM17" i="1"/>
  <c r="AN17" i="1"/>
  <c r="AJ18" i="1"/>
  <c r="AK18" i="1"/>
  <c r="AL18" i="1"/>
  <c r="AM18" i="1"/>
  <c r="AN18" i="1"/>
  <c r="AJ19" i="1"/>
  <c r="AK19" i="1"/>
  <c r="AL19" i="1"/>
  <c r="AM19" i="1"/>
  <c r="AN19" i="1"/>
  <c r="AJ20" i="1"/>
  <c r="AK20" i="1"/>
  <c r="AL20" i="1"/>
  <c r="AM20" i="1"/>
  <c r="AN20" i="1"/>
  <c r="AJ21" i="1"/>
  <c r="AK21" i="1"/>
  <c r="AL21" i="1"/>
  <c r="AM21" i="1"/>
  <c r="AN21" i="1"/>
  <c r="AJ22" i="1"/>
  <c r="AK22" i="1"/>
  <c r="AL22" i="1"/>
  <c r="AM22" i="1"/>
  <c r="AN22" i="1"/>
  <c r="AJ23" i="1"/>
  <c r="AK23" i="1"/>
  <c r="AL23" i="1"/>
  <c r="AM23" i="1"/>
  <c r="AN23" i="1"/>
  <c r="AJ24" i="1"/>
  <c r="AK24" i="1"/>
  <c r="AL24" i="1"/>
  <c r="AM24" i="1"/>
  <c r="AN24" i="1"/>
  <c r="AJ25" i="1"/>
  <c r="AK25" i="1"/>
  <c r="AL25" i="1"/>
  <c r="AM25" i="1"/>
  <c r="AN25" i="1"/>
  <c r="AJ26" i="1"/>
  <c r="AK26" i="1"/>
  <c r="AL26" i="1"/>
  <c r="AM26" i="1"/>
  <c r="AN26" i="1"/>
  <c r="AJ27" i="1"/>
  <c r="AK27" i="1"/>
  <c r="AL27" i="1"/>
  <c r="AM27" i="1"/>
  <c r="AN27" i="1"/>
  <c r="AJ28" i="1"/>
  <c r="AK28" i="1"/>
  <c r="AL28" i="1"/>
  <c r="AM28" i="1"/>
  <c r="AN28" i="1"/>
  <c r="AJ29" i="1"/>
  <c r="AK29" i="1"/>
  <c r="AL29" i="1"/>
  <c r="AM29" i="1"/>
  <c r="AN29" i="1"/>
  <c r="AJ30" i="1"/>
  <c r="AK30" i="1"/>
  <c r="AL30" i="1"/>
  <c r="AM30" i="1"/>
  <c r="AN30" i="1"/>
  <c r="AJ31" i="1"/>
  <c r="AK31" i="1"/>
  <c r="AL31" i="1"/>
  <c r="AM31" i="1"/>
  <c r="AN31" i="1"/>
  <c r="AJ32" i="1"/>
  <c r="AK32" i="1"/>
  <c r="AL32" i="1"/>
  <c r="AM32" i="1"/>
  <c r="AN32" i="1"/>
  <c r="AJ33" i="1"/>
  <c r="AK33" i="1"/>
  <c r="AL33" i="1"/>
  <c r="AM33" i="1"/>
  <c r="AN33" i="1"/>
  <c r="AJ34" i="1"/>
  <c r="AK34" i="1"/>
  <c r="AL34" i="1"/>
  <c r="AM34" i="1"/>
  <c r="AN34" i="1"/>
  <c r="AJ35" i="1"/>
  <c r="AK35" i="1"/>
  <c r="AL35" i="1"/>
  <c r="AM35" i="1"/>
  <c r="AN35" i="1"/>
  <c r="AJ36" i="1"/>
  <c r="AK36" i="1"/>
  <c r="AL36" i="1"/>
  <c r="AM36" i="1"/>
  <c r="AN36" i="1"/>
  <c r="AJ37" i="1"/>
  <c r="AK37" i="1"/>
  <c r="AL37" i="1"/>
  <c r="AM37" i="1"/>
  <c r="AN37" i="1"/>
  <c r="AJ38" i="1"/>
  <c r="AK38" i="1"/>
  <c r="AL38" i="1"/>
  <c r="AM38" i="1"/>
  <c r="AN38" i="1"/>
  <c r="AJ39" i="1"/>
  <c r="AK39" i="1"/>
  <c r="AL39" i="1"/>
  <c r="AM39" i="1"/>
  <c r="AN39" i="1"/>
  <c r="AJ40" i="1"/>
  <c r="AK40" i="1"/>
  <c r="AL40" i="1"/>
  <c r="AM40" i="1"/>
  <c r="AN40" i="1"/>
  <c r="AJ41" i="1"/>
  <c r="AK41" i="1"/>
  <c r="AL41" i="1"/>
  <c r="AM41" i="1"/>
  <c r="AN41" i="1"/>
  <c r="AJ42" i="1"/>
  <c r="AK42" i="1"/>
  <c r="AL42" i="1"/>
  <c r="AM42" i="1"/>
  <c r="AN42" i="1"/>
  <c r="AJ43" i="1"/>
  <c r="AK43" i="1"/>
  <c r="AL43" i="1"/>
  <c r="AM43" i="1"/>
  <c r="AN43" i="1"/>
  <c r="AJ44" i="1"/>
  <c r="AK44" i="1"/>
  <c r="AL44" i="1"/>
  <c r="AM44" i="1"/>
  <c r="AN44" i="1"/>
  <c r="AJ45" i="1"/>
  <c r="AK45" i="1"/>
  <c r="AL45" i="1"/>
  <c r="AM45" i="1"/>
  <c r="AN45" i="1"/>
  <c r="AJ46" i="1"/>
  <c r="AK46" i="1"/>
  <c r="AL46" i="1"/>
  <c r="AM46" i="1"/>
  <c r="AN46" i="1"/>
  <c r="AJ47" i="1"/>
  <c r="AK47" i="1"/>
  <c r="AL47" i="1"/>
  <c r="AM47" i="1"/>
  <c r="AN47" i="1"/>
  <c r="AJ48" i="1"/>
  <c r="AK48" i="1"/>
  <c r="AL48" i="1"/>
  <c r="AM48" i="1"/>
  <c r="AN48" i="1"/>
  <c r="AJ49" i="1"/>
  <c r="AK49" i="1"/>
  <c r="AL49" i="1"/>
  <c r="AM49" i="1"/>
  <c r="AN49" i="1"/>
  <c r="AJ50" i="1"/>
  <c r="AK50" i="1"/>
  <c r="AL50" i="1"/>
  <c r="AM50" i="1"/>
  <c r="AN50" i="1"/>
  <c r="AJ51" i="1"/>
  <c r="AK51" i="1"/>
  <c r="AL51" i="1"/>
  <c r="AM51" i="1"/>
  <c r="AN51" i="1"/>
  <c r="AJ52" i="1"/>
  <c r="AK52" i="1"/>
  <c r="AL52" i="1"/>
  <c r="AM52" i="1"/>
  <c r="AN52" i="1"/>
  <c r="AJ53" i="1"/>
  <c r="AK53" i="1"/>
  <c r="AL53" i="1"/>
  <c r="AM53" i="1"/>
  <c r="AN53" i="1"/>
  <c r="AJ54" i="1"/>
  <c r="AK54" i="1"/>
  <c r="AL54" i="1"/>
  <c r="AM54" i="1"/>
  <c r="AN54" i="1"/>
  <c r="AJ55" i="1"/>
  <c r="AK55" i="1"/>
  <c r="AL55" i="1"/>
  <c r="AM55" i="1"/>
  <c r="AN55" i="1"/>
  <c r="AJ56" i="1"/>
  <c r="AK56" i="1"/>
  <c r="AL56" i="1"/>
  <c r="AM56" i="1"/>
  <c r="AN56" i="1"/>
  <c r="AJ57" i="1"/>
  <c r="AK57" i="1"/>
  <c r="AL57" i="1"/>
  <c r="AM57" i="1"/>
  <c r="AN57" i="1"/>
  <c r="AJ58" i="1"/>
  <c r="AK58" i="1"/>
  <c r="AL58" i="1"/>
  <c r="AM58" i="1"/>
  <c r="AN58" i="1"/>
  <c r="AJ59" i="1"/>
  <c r="AK59" i="1"/>
  <c r="AL59" i="1"/>
  <c r="AM59" i="1"/>
  <c r="AN59" i="1"/>
  <c r="AJ60" i="1"/>
  <c r="AK60" i="1"/>
  <c r="AL60" i="1"/>
  <c r="AM60" i="1"/>
  <c r="AN60" i="1"/>
  <c r="AJ61" i="1"/>
  <c r="AK61" i="1"/>
  <c r="AL61" i="1"/>
  <c r="AM61" i="1"/>
  <c r="AN61" i="1"/>
  <c r="AJ62" i="1"/>
  <c r="AK62" i="1"/>
  <c r="AL62" i="1"/>
  <c r="AM62" i="1"/>
  <c r="AN62" i="1"/>
  <c r="AJ63" i="1"/>
  <c r="AK63" i="1"/>
  <c r="AL63" i="1"/>
  <c r="AM63" i="1"/>
  <c r="AN63" i="1"/>
  <c r="AJ64" i="1"/>
  <c r="AK64" i="1"/>
  <c r="AL64" i="1"/>
  <c r="AM64" i="1"/>
  <c r="AN64" i="1"/>
  <c r="AJ65" i="1"/>
  <c r="AK65" i="1"/>
  <c r="AL65" i="1"/>
  <c r="AM65" i="1"/>
  <c r="AN65" i="1"/>
  <c r="AJ66" i="1"/>
  <c r="AK66" i="1"/>
  <c r="AL66" i="1"/>
  <c r="AM66" i="1"/>
  <c r="AN66" i="1"/>
  <c r="AJ67" i="1"/>
  <c r="AK67" i="1"/>
  <c r="AL67" i="1"/>
  <c r="AM67" i="1"/>
  <c r="AN67" i="1"/>
  <c r="AJ68" i="1"/>
  <c r="AK68" i="1"/>
  <c r="AL68" i="1"/>
  <c r="AM68" i="1"/>
  <c r="AN68" i="1"/>
  <c r="AJ69" i="1"/>
  <c r="AK69" i="1"/>
  <c r="AL69" i="1"/>
  <c r="AM69" i="1"/>
  <c r="AN69" i="1"/>
  <c r="AJ70" i="1"/>
  <c r="AK70" i="1"/>
  <c r="AL70" i="1"/>
  <c r="AM70" i="1"/>
  <c r="AN70" i="1"/>
  <c r="AJ71" i="1"/>
  <c r="AK71" i="1"/>
  <c r="AL71" i="1"/>
  <c r="AM71" i="1"/>
  <c r="AN71" i="1"/>
  <c r="AJ72" i="1"/>
  <c r="AK72" i="1"/>
  <c r="AL72" i="1"/>
  <c r="AM72" i="1"/>
  <c r="AN72" i="1"/>
  <c r="AJ73" i="1"/>
  <c r="AK73" i="1"/>
  <c r="AL73" i="1"/>
  <c r="AM73" i="1"/>
  <c r="AN73" i="1"/>
  <c r="AJ74" i="1"/>
  <c r="AK74" i="1"/>
  <c r="AL74" i="1"/>
  <c r="AM74" i="1"/>
  <c r="AN74" i="1"/>
  <c r="AJ75" i="1"/>
  <c r="AK75" i="1"/>
  <c r="AL75" i="1"/>
  <c r="AM75" i="1"/>
  <c r="AN75" i="1"/>
  <c r="AJ76" i="1"/>
  <c r="AK76" i="1"/>
  <c r="AL76" i="1"/>
  <c r="AM76" i="1"/>
  <c r="AN76" i="1"/>
  <c r="AJ77" i="1"/>
  <c r="AK77" i="1"/>
  <c r="AL77" i="1"/>
  <c r="AM77" i="1"/>
  <c r="AN77" i="1"/>
  <c r="AJ78" i="1"/>
  <c r="AK78" i="1"/>
  <c r="AL78" i="1"/>
  <c r="AM78" i="1"/>
  <c r="AN78" i="1"/>
  <c r="AJ79" i="1"/>
  <c r="AK79" i="1"/>
  <c r="AL79" i="1"/>
  <c r="AM79" i="1"/>
  <c r="AN79" i="1"/>
  <c r="AJ80" i="1"/>
  <c r="AK80" i="1"/>
  <c r="AL80" i="1"/>
  <c r="AM80" i="1"/>
  <c r="AN80" i="1"/>
  <c r="AJ81" i="1"/>
  <c r="AK81" i="1"/>
  <c r="AL81" i="1"/>
  <c r="AM81" i="1"/>
  <c r="AN81" i="1"/>
  <c r="AJ82" i="1"/>
  <c r="AK82" i="1"/>
  <c r="AL82" i="1"/>
  <c r="AM82" i="1"/>
  <c r="AN82" i="1"/>
  <c r="AJ83" i="1"/>
  <c r="AK83" i="1"/>
  <c r="AL83" i="1"/>
  <c r="AM83" i="1"/>
  <c r="AN83" i="1"/>
  <c r="AJ84" i="1"/>
  <c r="AK84" i="1"/>
  <c r="AL84" i="1"/>
  <c r="AM84" i="1"/>
  <c r="AN84" i="1"/>
  <c r="AJ85" i="1"/>
  <c r="AK85" i="1"/>
  <c r="AL85" i="1"/>
  <c r="AM85" i="1"/>
  <c r="AN85" i="1"/>
  <c r="AJ86" i="1"/>
  <c r="AK86" i="1"/>
  <c r="AL86" i="1"/>
  <c r="AM86" i="1"/>
  <c r="AN86" i="1"/>
  <c r="AJ87" i="1"/>
  <c r="AK87" i="1"/>
  <c r="AL87" i="1"/>
  <c r="AM87" i="1"/>
  <c r="AN87" i="1"/>
  <c r="AJ88" i="1"/>
  <c r="AK88" i="1"/>
  <c r="AL88" i="1"/>
  <c r="AM88" i="1"/>
  <c r="AN88" i="1"/>
  <c r="AJ89" i="1"/>
  <c r="AK89" i="1"/>
  <c r="AL89" i="1"/>
  <c r="AM89" i="1"/>
  <c r="AN89" i="1"/>
  <c r="AJ90" i="1"/>
  <c r="AK90" i="1"/>
  <c r="AL90" i="1"/>
  <c r="AM90" i="1"/>
  <c r="AN90" i="1"/>
  <c r="AJ91" i="1"/>
  <c r="AK91" i="1"/>
  <c r="AL91" i="1"/>
  <c r="AM91" i="1"/>
  <c r="AN91" i="1"/>
  <c r="AJ92" i="1"/>
  <c r="AK92" i="1"/>
  <c r="AL92" i="1"/>
  <c r="AM92" i="1"/>
  <c r="AN92" i="1"/>
  <c r="AJ93" i="1"/>
  <c r="AK93" i="1"/>
  <c r="AL93" i="1"/>
  <c r="AM93" i="1"/>
  <c r="AN93" i="1"/>
  <c r="AJ94" i="1"/>
  <c r="AK94" i="1"/>
  <c r="AL94" i="1"/>
  <c r="AM94" i="1"/>
  <c r="AN94" i="1"/>
  <c r="AJ95" i="1"/>
  <c r="AK95" i="1"/>
  <c r="AL95" i="1"/>
  <c r="AM95" i="1"/>
  <c r="AN95" i="1"/>
  <c r="AJ96" i="1"/>
  <c r="AK96" i="1"/>
  <c r="AL96" i="1"/>
  <c r="AM96" i="1"/>
  <c r="AN96" i="1"/>
  <c r="AJ97" i="1"/>
  <c r="AK97" i="1"/>
  <c r="AL97" i="1"/>
  <c r="AM97" i="1"/>
  <c r="AN97" i="1"/>
  <c r="AJ98" i="1"/>
  <c r="AK98" i="1"/>
  <c r="AL98" i="1"/>
  <c r="AM98" i="1"/>
  <c r="AN98" i="1"/>
  <c r="AJ99" i="1"/>
  <c r="AK99" i="1"/>
  <c r="AL99" i="1"/>
  <c r="AM99" i="1"/>
  <c r="AN99" i="1"/>
  <c r="AJ100" i="1"/>
  <c r="AK100" i="1"/>
  <c r="AL100" i="1"/>
  <c r="AM100" i="1"/>
  <c r="AN100" i="1"/>
  <c r="AJ101" i="1"/>
  <c r="AK101" i="1"/>
  <c r="AL101" i="1"/>
  <c r="AM101" i="1"/>
  <c r="AN101" i="1"/>
  <c r="AJ102" i="1"/>
  <c r="AK102" i="1"/>
  <c r="AL102" i="1"/>
  <c r="AM102" i="1"/>
  <c r="AN102" i="1"/>
  <c r="AJ103" i="1"/>
  <c r="AK103" i="1"/>
  <c r="AL103" i="1"/>
  <c r="AM103" i="1"/>
  <c r="AN103" i="1"/>
  <c r="AJ104" i="1"/>
  <c r="AK104" i="1"/>
  <c r="AL104" i="1"/>
  <c r="AM104" i="1"/>
  <c r="AN104" i="1"/>
  <c r="AJ105" i="1"/>
  <c r="AK105" i="1"/>
  <c r="AL105" i="1"/>
  <c r="AM105" i="1"/>
  <c r="AN105" i="1"/>
  <c r="AJ106" i="1"/>
  <c r="AK106" i="1"/>
  <c r="AL106" i="1"/>
  <c r="AM106" i="1"/>
  <c r="AN106" i="1"/>
  <c r="AJ107" i="1"/>
  <c r="AK107" i="1"/>
  <c r="AL107" i="1"/>
  <c r="AM107" i="1"/>
  <c r="AN107" i="1"/>
  <c r="AJ108" i="1"/>
  <c r="AK108" i="1"/>
  <c r="AL108" i="1"/>
  <c r="AM108" i="1"/>
  <c r="AN108" i="1"/>
  <c r="AJ109" i="1"/>
  <c r="AK109" i="1"/>
  <c r="AL109" i="1"/>
  <c r="AM109" i="1"/>
  <c r="AN109" i="1"/>
  <c r="AJ110" i="1"/>
  <c r="AK110" i="1"/>
  <c r="AL110" i="1"/>
  <c r="AM110" i="1"/>
  <c r="AN110" i="1"/>
  <c r="AJ111" i="1"/>
  <c r="AK111" i="1"/>
  <c r="AL111" i="1"/>
  <c r="AM111" i="1"/>
  <c r="AN111" i="1"/>
  <c r="AJ112" i="1"/>
  <c r="AK112" i="1"/>
  <c r="AL112" i="1"/>
  <c r="AM112" i="1"/>
  <c r="AN112" i="1"/>
  <c r="AJ113" i="1"/>
  <c r="AK113" i="1"/>
  <c r="AL113" i="1"/>
  <c r="AM113" i="1"/>
  <c r="AN113" i="1"/>
  <c r="AJ114" i="1"/>
  <c r="AK114" i="1"/>
  <c r="AL114" i="1"/>
  <c r="AM114" i="1"/>
  <c r="AN114" i="1"/>
  <c r="AJ115" i="1"/>
  <c r="AK115" i="1"/>
  <c r="AL115" i="1"/>
  <c r="AM115" i="1"/>
  <c r="AN115" i="1"/>
  <c r="AJ116" i="1"/>
  <c r="AK116" i="1"/>
  <c r="AL116" i="1"/>
  <c r="AM116" i="1"/>
  <c r="AN116" i="1"/>
  <c r="AJ117" i="1"/>
  <c r="AK117" i="1"/>
  <c r="AL117" i="1"/>
  <c r="AM117" i="1"/>
  <c r="AN117" i="1"/>
  <c r="AJ118" i="1"/>
  <c r="AK118" i="1"/>
  <c r="AL118" i="1"/>
  <c r="AM118" i="1"/>
  <c r="AN118" i="1"/>
  <c r="AJ119" i="1"/>
  <c r="AK119" i="1"/>
  <c r="AL119" i="1"/>
  <c r="AM119" i="1"/>
  <c r="AN119" i="1"/>
  <c r="AJ120" i="1"/>
  <c r="AK120" i="1"/>
  <c r="AL120" i="1"/>
  <c r="AM120" i="1"/>
  <c r="AN120" i="1"/>
  <c r="AJ121" i="1"/>
  <c r="AK121" i="1"/>
  <c r="AL121" i="1"/>
  <c r="AM121" i="1"/>
  <c r="AN121" i="1"/>
  <c r="AJ122" i="1"/>
  <c r="AK122" i="1"/>
  <c r="AL122" i="1"/>
  <c r="AM122" i="1"/>
  <c r="AN122" i="1"/>
  <c r="AJ123" i="1"/>
  <c r="AK123" i="1"/>
  <c r="AL123" i="1"/>
  <c r="AM123" i="1"/>
  <c r="AN123" i="1"/>
  <c r="AJ124" i="1"/>
  <c r="AK124" i="1"/>
  <c r="AL124" i="1"/>
  <c r="AM124" i="1"/>
  <c r="AN124" i="1"/>
  <c r="AJ125" i="1"/>
  <c r="AK125" i="1"/>
  <c r="AL125" i="1"/>
  <c r="AM125" i="1"/>
  <c r="AN125" i="1"/>
  <c r="AJ126" i="1"/>
  <c r="AK126" i="1"/>
  <c r="AL126" i="1"/>
  <c r="AM126" i="1"/>
  <c r="AN126" i="1"/>
  <c r="AJ127" i="1"/>
  <c r="AK127" i="1"/>
  <c r="AL127" i="1"/>
  <c r="AM127" i="1"/>
  <c r="AN127" i="1"/>
  <c r="AJ128" i="1"/>
  <c r="AK128" i="1"/>
  <c r="AL128" i="1"/>
  <c r="AM128" i="1"/>
  <c r="AN128" i="1"/>
  <c r="AJ129" i="1"/>
  <c r="AK129" i="1"/>
  <c r="AL129" i="1"/>
  <c r="AM129" i="1"/>
  <c r="AN129" i="1"/>
  <c r="AJ130" i="1"/>
  <c r="AK130" i="1"/>
  <c r="AL130" i="1"/>
  <c r="AM130" i="1"/>
  <c r="AN130" i="1"/>
  <c r="AJ131" i="1"/>
  <c r="AK131" i="1"/>
  <c r="AL131" i="1"/>
  <c r="AM131" i="1"/>
  <c r="AN131" i="1"/>
  <c r="AJ132" i="1"/>
  <c r="AK132" i="1"/>
  <c r="AL132" i="1"/>
  <c r="AM132" i="1"/>
  <c r="AN132" i="1"/>
  <c r="AJ133" i="1"/>
  <c r="AK133" i="1"/>
  <c r="AL133" i="1"/>
  <c r="AM133" i="1"/>
  <c r="AN133" i="1"/>
  <c r="AJ134" i="1"/>
  <c r="AK134" i="1"/>
  <c r="AL134" i="1"/>
  <c r="AM134" i="1"/>
  <c r="AN134" i="1"/>
  <c r="AJ135" i="1"/>
  <c r="AK135" i="1"/>
  <c r="AL135" i="1"/>
  <c r="AM135" i="1"/>
  <c r="AN135" i="1"/>
  <c r="AJ136" i="1"/>
  <c r="AK136" i="1"/>
  <c r="AL136" i="1"/>
  <c r="AM136" i="1"/>
  <c r="AN136" i="1"/>
  <c r="AJ137" i="1"/>
  <c r="AK137" i="1"/>
  <c r="AL137" i="1"/>
  <c r="AM137" i="1"/>
  <c r="AN137" i="1"/>
  <c r="AJ138" i="1"/>
  <c r="AK138" i="1"/>
  <c r="AL138" i="1"/>
  <c r="AM138" i="1"/>
  <c r="AN138" i="1"/>
  <c r="AJ139" i="1"/>
  <c r="AK139" i="1"/>
  <c r="AL139" i="1"/>
  <c r="AM139" i="1"/>
  <c r="AN139" i="1"/>
  <c r="AJ140" i="1"/>
  <c r="AK140" i="1"/>
  <c r="AL140" i="1"/>
  <c r="AM140" i="1"/>
  <c r="AN140" i="1"/>
  <c r="AJ141" i="1"/>
  <c r="AK141" i="1"/>
  <c r="AL141" i="1"/>
  <c r="AM141" i="1"/>
  <c r="AN141" i="1"/>
  <c r="AJ142" i="1"/>
  <c r="AK142" i="1"/>
  <c r="AL142" i="1"/>
  <c r="AM142" i="1"/>
  <c r="AN142" i="1"/>
  <c r="AJ143" i="1"/>
  <c r="AK143" i="1"/>
  <c r="AL143" i="1"/>
  <c r="AM143" i="1"/>
  <c r="AN143" i="1"/>
  <c r="AJ144" i="1"/>
  <c r="AK144" i="1"/>
  <c r="AL144" i="1"/>
  <c r="AM144" i="1"/>
  <c r="AN144" i="1"/>
  <c r="AJ145" i="1"/>
  <c r="AK145" i="1"/>
  <c r="AL145" i="1"/>
  <c r="AM145" i="1"/>
  <c r="AN145" i="1"/>
  <c r="AJ146" i="1"/>
  <c r="AK146" i="1"/>
  <c r="AL146" i="1"/>
  <c r="AM146" i="1"/>
  <c r="AN146" i="1"/>
  <c r="AJ147" i="1"/>
  <c r="AK147" i="1"/>
  <c r="AL147" i="1"/>
  <c r="AM147" i="1"/>
  <c r="AN147" i="1"/>
  <c r="AJ148" i="1"/>
  <c r="AK148" i="1"/>
  <c r="AL148" i="1"/>
  <c r="AM148" i="1"/>
  <c r="AN148" i="1"/>
  <c r="AJ149" i="1"/>
  <c r="AK149" i="1"/>
  <c r="AL149" i="1"/>
  <c r="AM149" i="1"/>
  <c r="AN149" i="1"/>
  <c r="AJ150" i="1"/>
  <c r="AK150" i="1"/>
  <c r="AL150" i="1"/>
  <c r="AM150" i="1"/>
  <c r="AN150" i="1"/>
  <c r="AJ151" i="1"/>
  <c r="AK151" i="1"/>
  <c r="AL151" i="1"/>
  <c r="AM151" i="1"/>
  <c r="AN151" i="1"/>
  <c r="AJ152" i="1"/>
  <c r="AK152" i="1"/>
  <c r="AL152" i="1"/>
  <c r="AM152" i="1"/>
  <c r="AN152" i="1"/>
  <c r="AJ153" i="1"/>
  <c r="AK153" i="1"/>
  <c r="AL153" i="1"/>
  <c r="AM153" i="1"/>
  <c r="AN153" i="1"/>
  <c r="AJ154" i="1"/>
  <c r="AK154" i="1"/>
  <c r="AL154" i="1"/>
  <c r="AM154" i="1"/>
  <c r="AN154" i="1"/>
  <c r="AJ155" i="1"/>
  <c r="AK155" i="1"/>
  <c r="AL155" i="1"/>
  <c r="AM155" i="1"/>
  <c r="AN155" i="1"/>
  <c r="AJ156" i="1"/>
  <c r="AK156" i="1"/>
  <c r="AL156" i="1"/>
  <c r="AM156" i="1"/>
  <c r="AN156" i="1"/>
  <c r="AJ157" i="1"/>
  <c r="AK157" i="1"/>
  <c r="AL157" i="1"/>
  <c r="AM157" i="1"/>
  <c r="AN157" i="1"/>
  <c r="AJ158" i="1"/>
  <c r="AK158" i="1"/>
  <c r="AL158" i="1"/>
  <c r="AM158" i="1"/>
  <c r="AN158" i="1"/>
  <c r="AJ159" i="1"/>
  <c r="AK159" i="1"/>
  <c r="AL159" i="1"/>
  <c r="AM159" i="1"/>
  <c r="AN159" i="1"/>
  <c r="AJ160" i="1"/>
  <c r="AK160" i="1"/>
  <c r="AL160" i="1"/>
  <c r="AM160" i="1"/>
  <c r="AN160" i="1"/>
  <c r="AJ161" i="1"/>
  <c r="AK161" i="1"/>
  <c r="AL161" i="1"/>
  <c r="AM161" i="1"/>
  <c r="AN161" i="1"/>
  <c r="AJ162" i="1"/>
  <c r="AK162" i="1"/>
  <c r="AL162" i="1"/>
  <c r="AM162" i="1"/>
  <c r="AN162" i="1"/>
  <c r="AJ163" i="1"/>
  <c r="AK163" i="1"/>
  <c r="AL163" i="1"/>
  <c r="AM163" i="1"/>
  <c r="AN163" i="1"/>
  <c r="AJ164" i="1"/>
  <c r="AK164" i="1"/>
  <c r="AL164" i="1"/>
  <c r="AM164" i="1"/>
  <c r="AN164" i="1"/>
  <c r="AJ165" i="1"/>
  <c r="AK165" i="1"/>
  <c r="AL165" i="1"/>
  <c r="AM165" i="1"/>
  <c r="AN165" i="1"/>
  <c r="AJ166" i="1"/>
  <c r="AK166" i="1"/>
  <c r="AL166" i="1"/>
  <c r="AM166" i="1"/>
  <c r="AN166" i="1"/>
  <c r="AJ167" i="1"/>
  <c r="AK167" i="1"/>
  <c r="AL167" i="1"/>
  <c r="AM167" i="1"/>
  <c r="AN167" i="1"/>
  <c r="AJ168" i="1"/>
  <c r="AK168" i="1"/>
  <c r="AL168" i="1"/>
  <c r="AM168" i="1"/>
  <c r="AN168" i="1"/>
  <c r="AJ169" i="1"/>
  <c r="AK169" i="1"/>
  <c r="AL169" i="1"/>
  <c r="AM169" i="1"/>
  <c r="AN169" i="1"/>
  <c r="AJ170" i="1"/>
  <c r="AK170" i="1"/>
  <c r="AL170" i="1"/>
  <c r="AM170" i="1"/>
  <c r="AN170" i="1"/>
  <c r="AJ171" i="1"/>
  <c r="AK171" i="1"/>
  <c r="AL171" i="1"/>
  <c r="AM171" i="1"/>
  <c r="AN171" i="1"/>
  <c r="AJ172" i="1"/>
  <c r="AK172" i="1"/>
  <c r="AL172" i="1"/>
  <c r="AM172" i="1"/>
  <c r="AN172" i="1"/>
  <c r="AJ173" i="1"/>
  <c r="AK173" i="1"/>
  <c r="AL173" i="1"/>
  <c r="AM173" i="1"/>
  <c r="AN173" i="1"/>
  <c r="AJ174" i="1"/>
  <c r="AK174" i="1"/>
  <c r="AL174" i="1"/>
  <c r="AM174" i="1"/>
  <c r="AN174" i="1"/>
  <c r="AJ175" i="1"/>
  <c r="AK175" i="1"/>
  <c r="AL175" i="1"/>
  <c r="AM175" i="1"/>
  <c r="AN175" i="1"/>
  <c r="AJ176" i="1"/>
  <c r="AK176" i="1"/>
  <c r="AL176" i="1"/>
  <c r="AM176" i="1"/>
  <c r="AN176" i="1"/>
  <c r="AJ177" i="1"/>
  <c r="AK177" i="1"/>
  <c r="AL177" i="1"/>
  <c r="AM177" i="1"/>
  <c r="AN177" i="1"/>
  <c r="AJ178" i="1"/>
  <c r="AK178" i="1"/>
  <c r="AL178" i="1"/>
  <c r="AM178" i="1"/>
  <c r="AN178" i="1"/>
  <c r="AJ179" i="1"/>
  <c r="AK179" i="1"/>
  <c r="AL179" i="1"/>
  <c r="AM179" i="1"/>
  <c r="AN179" i="1"/>
  <c r="AJ180" i="1"/>
  <c r="AK180" i="1"/>
  <c r="AL180" i="1"/>
  <c r="AM180" i="1"/>
  <c r="AN180" i="1"/>
  <c r="AJ181" i="1"/>
  <c r="AK181" i="1"/>
  <c r="AL181" i="1"/>
  <c r="AM181" i="1"/>
  <c r="AN181" i="1"/>
  <c r="AJ182" i="1"/>
  <c r="AK182" i="1"/>
  <c r="AL182" i="1"/>
  <c r="AM182" i="1"/>
  <c r="AN182" i="1"/>
  <c r="AJ183" i="1"/>
  <c r="AK183" i="1"/>
  <c r="AL183" i="1"/>
  <c r="AM183" i="1"/>
  <c r="AN183" i="1"/>
  <c r="AJ184" i="1"/>
  <c r="AK184" i="1"/>
  <c r="AL184" i="1"/>
  <c r="AM184" i="1"/>
  <c r="AN184" i="1"/>
  <c r="AJ185" i="1"/>
  <c r="AK185" i="1"/>
  <c r="AL185" i="1"/>
  <c r="AM185" i="1"/>
  <c r="AN185" i="1"/>
  <c r="AJ186" i="1"/>
  <c r="AK186" i="1"/>
  <c r="AL186" i="1"/>
  <c r="AM186" i="1"/>
  <c r="AN186" i="1"/>
  <c r="AJ187" i="1"/>
  <c r="AK187" i="1"/>
  <c r="AL187" i="1"/>
  <c r="AM187" i="1"/>
  <c r="AN187" i="1"/>
  <c r="AJ188" i="1"/>
  <c r="AK188" i="1"/>
  <c r="AL188" i="1"/>
  <c r="AM188" i="1"/>
  <c r="AN188" i="1"/>
  <c r="AJ189" i="1"/>
  <c r="AK189" i="1"/>
  <c r="AL189" i="1"/>
  <c r="AM189" i="1"/>
  <c r="AN189" i="1"/>
  <c r="AJ190" i="1"/>
  <c r="AK190" i="1"/>
  <c r="AL190" i="1"/>
  <c r="AM190" i="1"/>
  <c r="AN190" i="1"/>
  <c r="AJ191" i="1"/>
  <c r="AK191" i="1"/>
  <c r="AL191" i="1"/>
  <c r="AM191" i="1"/>
  <c r="AN191" i="1"/>
  <c r="AJ192" i="1"/>
  <c r="AK192" i="1"/>
  <c r="AL192" i="1"/>
  <c r="AM192" i="1"/>
  <c r="AN192" i="1"/>
  <c r="AJ193" i="1"/>
  <c r="AK193" i="1"/>
  <c r="AL193" i="1"/>
  <c r="AM193" i="1"/>
  <c r="AN193" i="1"/>
  <c r="AJ194" i="1"/>
  <c r="AK194" i="1"/>
  <c r="AL194" i="1"/>
  <c r="AM194" i="1"/>
  <c r="AN194" i="1"/>
  <c r="AJ195" i="1"/>
  <c r="AK195" i="1"/>
  <c r="AL195" i="1"/>
  <c r="AM195" i="1"/>
  <c r="AN195" i="1"/>
  <c r="AJ196" i="1"/>
  <c r="AK196" i="1"/>
  <c r="AL196" i="1"/>
  <c r="AM196" i="1"/>
  <c r="AN196" i="1"/>
  <c r="AJ197" i="1"/>
  <c r="AK197" i="1"/>
  <c r="AL197" i="1"/>
  <c r="AM197" i="1"/>
  <c r="AN197" i="1"/>
  <c r="AJ198" i="1"/>
  <c r="AK198" i="1"/>
  <c r="AL198" i="1"/>
  <c r="AM198" i="1"/>
  <c r="AN198" i="1"/>
  <c r="AJ199" i="1"/>
  <c r="AK199" i="1"/>
  <c r="AL199" i="1"/>
  <c r="AM199" i="1"/>
  <c r="AN199" i="1"/>
  <c r="AJ200" i="1"/>
  <c r="AK200" i="1"/>
  <c r="AL200" i="1"/>
  <c r="AM200" i="1"/>
  <c r="AN200" i="1"/>
  <c r="AJ201" i="1"/>
  <c r="AK201" i="1"/>
  <c r="AL201" i="1"/>
  <c r="AM201" i="1"/>
  <c r="AN201" i="1"/>
  <c r="AJ202" i="1"/>
  <c r="AK202" i="1"/>
  <c r="AL202" i="1"/>
  <c r="AM202" i="1"/>
  <c r="AN202" i="1"/>
  <c r="AJ203" i="1"/>
  <c r="AK203" i="1"/>
  <c r="AL203" i="1"/>
  <c r="AM203" i="1"/>
  <c r="AN203" i="1"/>
  <c r="AJ204" i="1"/>
  <c r="AK204" i="1"/>
  <c r="AL204" i="1"/>
  <c r="AM204" i="1"/>
  <c r="AN204" i="1"/>
  <c r="AJ205" i="1"/>
  <c r="AK205" i="1"/>
  <c r="AL205" i="1"/>
  <c r="AM205" i="1"/>
  <c r="AN205" i="1"/>
  <c r="AJ206" i="1"/>
  <c r="AK206" i="1"/>
  <c r="AL206" i="1"/>
  <c r="AM206" i="1"/>
  <c r="AN206" i="1"/>
  <c r="AJ207" i="1"/>
  <c r="AK207" i="1"/>
  <c r="AL207" i="1"/>
  <c r="AM207" i="1"/>
  <c r="AN207" i="1"/>
  <c r="AJ208" i="1"/>
  <c r="AK208" i="1"/>
  <c r="AL208" i="1"/>
  <c r="AM208" i="1"/>
  <c r="AN208" i="1"/>
  <c r="AJ209" i="1"/>
  <c r="AK209" i="1"/>
  <c r="AL209" i="1"/>
  <c r="AM209" i="1"/>
  <c r="AN209" i="1"/>
  <c r="AJ210" i="1"/>
  <c r="AK210" i="1"/>
  <c r="AL210" i="1"/>
  <c r="AM210" i="1"/>
  <c r="AN210" i="1"/>
  <c r="AJ211" i="1"/>
  <c r="AK211" i="1"/>
  <c r="AL211" i="1"/>
  <c r="AM211" i="1"/>
  <c r="AN211" i="1"/>
  <c r="AJ212" i="1"/>
  <c r="AK212" i="1"/>
  <c r="AL212" i="1"/>
  <c r="AM212" i="1"/>
  <c r="AN212" i="1"/>
  <c r="AJ213" i="1"/>
  <c r="AK213" i="1"/>
  <c r="AL213" i="1"/>
  <c r="AM213" i="1"/>
  <c r="AN213" i="1"/>
  <c r="AJ214" i="1"/>
  <c r="AK214" i="1"/>
  <c r="AL214" i="1"/>
  <c r="AM214" i="1"/>
  <c r="AN214" i="1"/>
  <c r="AJ215" i="1"/>
  <c r="AK215" i="1"/>
  <c r="AL215" i="1"/>
  <c r="AM215" i="1"/>
  <c r="AN215" i="1"/>
  <c r="AJ216" i="1"/>
  <c r="AK216" i="1"/>
  <c r="AL216" i="1"/>
  <c r="AM216" i="1"/>
  <c r="AN216" i="1"/>
  <c r="AJ217" i="1"/>
  <c r="AK217" i="1"/>
  <c r="AL217" i="1"/>
  <c r="AM217" i="1"/>
  <c r="AN217" i="1"/>
  <c r="AJ218" i="1"/>
  <c r="AK218" i="1"/>
  <c r="AL218" i="1"/>
  <c r="AM218" i="1"/>
  <c r="AN218" i="1"/>
  <c r="AJ219" i="1"/>
  <c r="AK219" i="1"/>
  <c r="AL219" i="1"/>
  <c r="AM219" i="1"/>
  <c r="AN219" i="1"/>
  <c r="AJ220" i="1"/>
  <c r="AK220" i="1"/>
  <c r="AL220" i="1"/>
  <c r="AM220" i="1"/>
  <c r="AN220" i="1"/>
  <c r="AJ221" i="1"/>
  <c r="AK221" i="1"/>
  <c r="AL221" i="1"/>
  <c r="AM221" i="1"/>
  <c r="AN221" i="1"/>
  <c r="AJ222" i="1"/>
  <c r="AK222" i="1"/>
  <c r="AL222" i="1"/>
  <c r="AM222" i="1"/>
  <c r="AN222" i="1"/>
  <c r="AJ223" i="1"/>
  <c r="AK223" i="1"/>
  <c r="AL223" i="1"/>
  <c r="AM223" i="1"/>
  <c r="AN223" i="1"/>
  <c r="AJ224" i="1"/>
  <c r="AK224" i="1"/>
  <c r="AL224" i="1"/>
  <c r="AM224" i="1"/>
  <c r="AN224" i="1"/>
  <c r="AJ225" i="1"/>
  <c r="AK225" i="1"/>
  <c r="AL225" i="1"/>
  <c r="AM225" i="1"/>
  <c r="AN225" i="1"/>
  <c r="AJ226" i="1"/>
  <c r="AK226" i="1"/>
  <c r="AL226" i="1"/>
  <c r="AM226" i="1"/>
  <c r="AN226" i="1"/>
  <c r="AJ227" i="1"/>
  <c r="AK227" i="1"/>
  <c r="AL227" i="1"/>
  <c r="AM227" i="1"/>
  <c r="AN227" i="1"/>
  <c r="AJ228" i="1"/>
  <c r="AK228" i="1"/>
  <c r="AL228" i="1"/>
  <c r="AM228" i="1"/>
  <c r="AN228" i="1"/>
  <c r="AJ229" i="1"/>
  <c r="AK229" i="1"/>
  <c r="AL229" i="1"/>
  <c r="AM229" i="1"/>
  <c r="AN229" i="1"/>
  <c r="AJ230" i="1"/>
  <c r="AK230" i="1"/>
  <c r="AL230" i="1"/>
  <c r="AM230" i="1"/>
  <c r="AN230" i="1"/>
  <c r="AJ231" i="1"/>
  <c r="AK231" i="1"/>
  <c r="AL231" i="1"/>
  <c r="AM231" i="1"/>
  <c r="AN231" i="1"/>
  <c r="AJ232" i="1"/>
  <c r="AK232" i="1"/>
  <c r="AL232" i="1"/>
  <c r="AM232" i="1"/>
  <c r="AN232" i="1"/>
  <c r="AJ233" i="1"/>
  <c r="AK233" i="1"/>
  <c r="AL233" i="1"/>
  <c r="AM233" i="1"/>
  <c r="AN233" i="1"/>
  <c r="AJ234" i="1"/>
  <c r="AK234" i="1"/>
  <c r="AL234" i="1"/>
  <c r="AM234" i="1"/>
  <c r="AN234" i="1"/>
  <c r="AJ235" i="1"/>
  <c r="AK235" i="1"/>
  <c r="AL235" i="1"/>
  <c r="AM235" i="1"/>
  <c r="AN235" i="1"/>
  <c r="AJ236" i="1"/>
  <c r="AK236" i="1"/>
  <c r="AL236" i="1"/>
  <c r="AM236" i="1"/>
  <c r="AN236" i="1"/>
  <c r="AJ237" i="1"/>
  <c r="AK237" i="1"/>
  <c r="AL237" i="1"/>
  <c r="AM237" i="1"/>
  <c r="AN237" i="1"/>
  <c r="AJ238" i="1"/>
  <c r="AK238" i="1"/>
  <c r="AL238" i="1"/>
  <c r="AM238" i="1"/>
  <c r="AN238" i="1"/>
  <c r="AJ239" i="1"/>
  <c r="AK239" i="1"/>
  <c r="AL239" i="1"/>
  <c r="AM239" i="1"/>
  <c r="AN239" i="1"/>
  <c r="AJ240" i="1"/>
  <c r="AK240" i="1"/>
  <c r="AL240" i="1"/>
  <c r="AM240" i="1"/>
  <c r="AN240" i="1"/>
  <c r="AJ241" i="1"/>
  <c r="AK241" i="1"/>
  <c r="AL241" i="1"/>
  <c r="AM241" i="1"/>
  <c r="AN241" i="1"/>
  <c r="AJ242" i="1"/>
  <c r="AK242" i="1"/>
  <c r="AL242" i="1"/>
  <c r="AM242" i="1"/>
  <c r="AN242" i="1"/>
  <c r="AJ243" i="1"/>
  <c r="AK243" i="1"/>
  <c r="AL243" i="1"/>
  <c r="AM243" i="1"/>
  <c r="AN243" i="1"/>
  <c r="AJ244" i="1"/>
  <c r="AK244" i="1"/>
  <c r="AL244" i="1"/>
  <c r="AM244" i="1"/>
  <c r="AN244" i="1"/>
  <c r="AJ245" i="1"/>
  <c r="AK245" i="1"/>
  <c r="AL245" i="1"/>
  <c r="AM245" i="1"/>
  <c r="AN245" i="1"/>
  <c r="AJ246" i="1"/>
  <c r="AK246" i="1"/>
  <c r="AL246" i="1"/>
  <c r="AM246" i="1"/>
  <c r="AN246" i="1"/>
  <c r="AJ247" i="1"/>
  <c r="AK247" i="1"/>
  <c r="AL247" i="1"/>
  <c r="AM247" i="1"/>
  <c r="AN247" i="1"/>
  <c r="AJ248" i="1"/>
  <c r="AK248" i="1"/>
  <c r="AL248" i="1"/>
  <c r="AM248" i="1"/>
  <c r="AN248" i="1"/>
  <c r="AJ249" i="1"/>
  <c r="AK249" i="1"/>
  <c r="AL249" i="1"/>
  <c r="AM249" i="1"/>
  <c r="AN249" i="1"/>
  <c r="AJ250" i="1"/>
  <c r="AK250" i="1"/>
  <c r="AL250" i="1"/>
  <c r="AM250" i="1"/>
  <c r="AN250" i="1"/>
  <c r="AJ251" i="1"/>
  <c r="AK251" i="1"/>
  <c r="AL251" i="1"/>
  <c r="AM251" i="1"/>
  <c r="AN251" i="1"/>
  <c r="AJ252" i="1"/>
  <c r="AK252" i="1"/>
  <c r="AL252" i="1"/>
  <c r="AM252" i="1"/>
  <c r="AN252" i="1"/>
  <c r="AJ253" i="1"/>
  <c r="AK253" i="1"/>
  <c r="AL253" i="1"/>
  <c r="AM253" i="1"/>
  <c r="AN253" i="1"/>
  <c r="AJ254" i="1"/>
  <c r="AK254" i="1"/>
  <c r="AL254" i="1"/>
  <c r="AM254" i="1"/>
  <c r="AN254" i="1"/>
  <c r="AJ255" i="1"/>
  <c r="AK255" i="1"/>
  <c r="AL255" i="1"/>
  <c r="AM255" i="1"/>
  <c r="AN255" i="1"/>
  <c r="AJ256" i="1"/>
  <c r="AK256" i="1"/>
  <c r="AL256" i="1"/>
  <c r="AM256" i="1"/>
  <c r="AN256" i="1"/>
  <c r="AJ257" i="1"/>
  <c r="AK257" i="1"/>
  <c r="AL257" i="1"/>
  <c r="AM257" i="1"/>
  <c r="AN257" i="1"/>
  <c r="AJ258" i="1"/>
  <c r="AK258" i="1"/>
  <c r="AL258" i="1"/>
  <c r="AM258" i="1"/>
  <c r="AN258" i="1"/>
  <c r="AJ259" i="1"/>
  <c r="AK259" i="1"/>
  <c r="AL259" i="1"/>
  <c r="AM259" i="1"/>
  <c r="AN259" i="1"/>
  <c r="AJ260" i="1"/>
  <c r="AK260" i="1"/>
  <c r="AL260" i="1"/>
  <c r="AM260" i="1"/>
  <c r="AN260" i="1"/>
  <c r="AJ261" i="1"/>
  <c r="AK261" i="1"/>
  <c r="AL261" i="1"/>
  <c r="AM261" i="1"/>
  <c r="AN261" i="1"/>
  <c r="AJ262" i="1"/>
  <c r="AK262" i="1"/>
  <c r="AL262" i="1"/>
  <c r="AM262" i="1"/>
  <c r="AN262" i="1"/>
  <c r="AJ263" i="1"/>
  <c r="AK263" i="1"/>
  <c r="AL263" i="1"/>
  <c r="AM263" i="1"/>
  <c r="AN263" i="1"/>
  <c r="AJ264" i="1"/>
  <c r="AK264" i="1"/>
  <c r="AL264" i="1"/>
  <c r="AM264" i="1"/>
  <c r="AN264" i="1"/>
  <c r="AJ265" i="1"/>
  <c r="AK265" i="1"/>
  <c r="AL265" i="1"/>
  <c r="AM265" i="1"/>
  <c r="AN265" i="1"/>
  <c r="AJ266" i="1"/>
  <c r="AK266" i="1"/>
  <c r="AL266" i="1"/>
  <c r="AM266" i="1"/>
  <c r="AN266" i="1"/>
  <c r="AJ267" i="1"/>
  <c r="AK267" i="1"/>
  <c r="AL267" i="1"/>
  <c r="AM267" i="1"/>
  <c r="AN267" i="1"/>
  <c r="AJ268" i="1"/>
  <c r="AK268" i="1"/>
  <c r="AL268" i="1"/>
  <c r="AM268" i="1"/>
  <c r="AN268" i="1"/>
  <c r="AJ269" i="1"/>
  <c r="AK269" i="1"/>
  <c r="AL269" i="1"/>
  <c r="AM269" i="1"/>
  <c r="AN269" i="1"/>
  <c r="AJ270" i="1"/>
  <c r="AK270" i="1"/>
  <c r="AL270" i="1"/>
  <c r="AM270" i="1"/>
  <c r="AN270" i="1"/>
  <c r="AJ271" i="1"/>
  <c r="AK271" i="1"/>
  <c r="AL271" i="1"/>
  <c r="AM271" i="1"/>
  <c r="AN271" i="1"/>
  <c r="AJ272" i="1"/>
  <c r="AK272" i="1"/>
  <c r="AL272" i="1"/>
  <c r="AM272" i="1"/>
  <c r="AN272" i="1"/>
  <c r="AJ273" i="1"/>
  <c r="AK273" i="1"/>
  <c r="AL273" i="1"/>
  <c r="AM273" i="1"/>
  <c r="AN273" i="1"/>
  <c r="AJ274" i="1"/>
  <c r="AK274" i="1"/>
  <c r="AL274" i="1"/>
  <c r="AM274" i="1"/>
  <c r="AN274" i="1"/>
  <c r="AJ275" i="1"/>
  <c r="AK275" i="1"/>
  <c r="AL275" i="1"/>
  <c r="AM275" i="1"/>
  <c r="AN275" i="1"/>
  <c r="AJ276" i="1"/>
  <c r="AK276" i="1"/>
  <c r="AL276" i="1"/>
  <c r="AM276" i="1"/>
  <c r="AN276" i="1"/>
  <c r="AJ277" i="1"/>
  <c r="AK277" i="1"/>
  <c r="AL277" i="1"/>
  <c r="AM277" i="1"/>
  <c r="AN277" i="1"/>
  <c r="AJ278" i="1"/>
  <c r="AK278" i="1"/>
  <c r="AL278" i="1"/>
  <c r="AM278" i="1"/>
  <c r="AN278" i="1"/>
  <c r="AJ279" i="1"/>
  <c r="AK279" i="1"/>
  <c r="AL279" i="1"/>
  <c r="AM279" i="1"/>
  <c r="AN279" i="1"/>
  <c r="AJ280" i="1"/>
  <c r="AK280" i="1"/>
  <c r="AL280" i="1"/>
  <c r="AM280" i="1"/>
  <c r="AN280" i="1"/>
  <c r="AJ281" i="1"/>
  <c r="AK281" i="1"/>
  <c r="AL281" i="1"/>
  <c r="AM281" i="1"/>
  <c r="AN281" i="1"/>
  <c r="AJ282" i="1"/>
  <c r="AK282" i="1"/>
  <c r="AL282" i="1"/>
  <c r="AM282" i="1"/>
  <c r="AN282" i="1"/>
  <c r="AJ283" i="1"/>
  <c r="AK283" i="1"/>
  <c r="AL283" i="1"/>
  <c r="AM283" i="1"/>
  <c r="AN283" i="1"/>
  <c r="AJ284" i="1"/>
  <c r="AK284" i="1"/>
  <c r="AL284" i="1"/>
  <c r="AM284" i="1"/>
  <c r="AN284" i="1"/>
  <c r="AJ285" i="1"/>
  <c r="AK285" i="1"/>
  <c r="AL285" i="1"/>
  <c r="AM285" i="1"/>
  <c r="AN285" i="1"/>
  <c r="AJ286" i="1"/>
  <c r="AK286" i="1"/>
  <c r="AL286" i="1"/>
  <c r="AM286" i="1"/>
  <c r="AN286" i="1"/>
  <c r="AJ287" i="1"/>
  <c r="AK287" i="1"/>
  <c r="AL287" i="1"/>
  <c r="AM287" i="1"/>
  <c r="AN287" i="1"/>
  <c r="AJ288" i="1"/>
  <c r="AK288" i="1"/>
  <c r="AL288" i="1"/>
  <c r="AM288" i="1"/>
  <c r="AN288" i="1"/>
  <c r="AJ289" i="1"/>
  <c r="AK289" i="1"/>
  <c r="AL289" i="1"/>
  <c r="AM289" i="1"/>
  <c r="AN289" i="1"/>
  <c r="AJ290" i="1"/>
  <c r="AK290" i="1"/>
  <c r="AL290" i="1"/>
  <c r="AM290" i="1"/>
  <c r="AN290" i="1"/>
  <c r="AJ291" i="1"/>
  <c r="AK291" i="1"/>
  <c r="AL291" i="1"/>
  <c r="AM291" i="1"/>
  <c r="AN291" i="1"/>
  <c r="AJ292" i="1"/>
  <c r="AK292" i="1"/>
  <c r="AL292" i="1"/>
  <c r="AM292" i="1"/>
  <c r="AN292" i="1"/>
  <c r="AJ293" i="1"/>
  <c r="AK293" i="1"/>
  <c r="AL293" i="1"/>
  <c r="AM293" i="1"/>
  <c r="AN293" i="1"/>
  <c r="AJ294" i="1"/>
  <c r="AK294" i="1"/>
  <c r="AL294" i="1"/>
  <c r="AM294" i="1"/>
  <c r="AN294" i="1"/>
  <c r="AJ295" i="1"/>
  <c r="AK295" i="1"/>
  <c r="AL295" i="1"/>
  <c r="AM295" i="1"/>
  <c r="AN295" i="1"/>
  <c r="AJ296" i="1"/>
  <c r="AK296" i="1"/>
  <c r="AL296" i="1"/>
  <c r="AM296" i="1"/>
  <c r="AN296" i="1"/>
  <c r="AJ297" i="1"/>
  <c r="AK297" i="1"/>
  <c r="AL297" i="1"/>
  <c r="AM297" i="1"/>
  <c r="AN297" i="1"/>
  <c r="AJ298" i="1"/>
  <c r="AK298" i="1"/>
  <c r="AL298" i="1"/>
  <c r="AM298" i="1"/>
  <c r="AN298" i="1"/>
  <c r="AJ299" i="1"/>
  <c r="AK299" i="1"/>
  <c r="AL299" i="1"/>
  <c r="AM299" i="1"/>
  <c r="AN299" i="1"/>
  <c r="Y2" i="1"/>
  <c r="Z2" i="1"/>
  <c r="AA2" i="1"/>
  <c r="AB2" i="1"/>
  <c r="AC2" i="1"/>
  <c r="AD2" i="1"/>
  <c r="AE2" i="1"/>
  <c r="AF2" i="1"/>
  <c r="AG2" i="1"/>
  <c r="AH2" i="1"/>
  <c r="AI2" i="1"/>
  <c r="Y3" i="1"/>
  <c r="Z3" i="1"/>
  <c r="AA3" i="1"/>
  <c r="AB3" i="1"/>
  <c r="AC3" i="1"/>
  <c r="AD3" i="1"/>
  <c r="AE3" i="1"/>
  <c r="AF3" i="1"/>
  <c r="AG3" i="1"/>
  <c r="AH3" i="1"/>
  <c r="AI3" i="1"/>
  <c r="Y4" i="1"/>
  <c r="Z4" i="1"/>
  <c r="AA4" i="1"/>
  <c r="AB4" i="1"/>
  <c r="AC4" i="1"/>
  <c r="AD4" i="1"/>
  <c r="AE4" i="1"/>
  <c r="AF4" i="1"/>
  <c r="AG4" i="1"/>
  <c r="AH4" i="1"/>
  <c r="AI4" i="1"/>
  <c r="Y5" i="1"/>
  <c r="Z5" i="1"/>
  <c r="AA5" i="1"/>
  <c r="AB5" i="1"/>
  <c r="AC5" i="1"/>
  <c r="AD5" i="1"/>
  <c r="AE5" i="1"/>
  <c r="AF5" i="1"/>
  <c r="AG5" i="1"/>
  <c r="AH5" i="1"/>
  <c r="AI5" i="1"/>
  <c r="Y6" i="1"/>
  <c r="Z6" i="1"/>
  <c r="AA6" i="1"/>
  <c r="AB6" i="1"/>
  <c r="AC6" i="1"/>
  <c r="AD6" i="1"/>
  <c r="AE6" i="1"/>
  <c r="AF6" i="1"/>
  <c r="AG6" i="1"/>
  <c r="AH6" i="1"/>
  <c r="AI6" i="1"/>
  <c r="Y7" i="1"/>
  <c r="Z7" i="1"/>
  <c r="AA7" i="1"/>
  <c r="AB7" i="1"/>
  <c r="AC7" i="1"/>
  <c r="AD7" i="1"/>
  <c r="AE7" i="1"/>
  <c r="AF7" i="1"/>
  <c r="AG7" i="1"/>
  <c r="AH7" i="1"/>
  <c r="AI7" i="1"/>
  <c r="Y8" i="1"/>
  <c r="Z8" i="1"/>
  <c r="AA8" i="1"/>
  <c r="AB8" i="1"/>
  <c r="AC8" i="1"/>
  <c r="AD8" i="1"/>
  <c r="AE8" i="1"/>
  <c r="AF8" i="1"/>
  <c r="AG8" i="1"/>
  <c r="AH8" i="1"/>
  <c r="AI8" i="1"/>
  <c r="Y9" i="1"/>
  <c r="Z9" i="1"/>
  <c r="AA9" i="1"/>
  <c r="AB9" i="1"/>
  <c r="AC9" i="1"/>
  <c r="AD9" i="1"/>
  <c r="AE9" i="1"/>
  <c r="AF9" i="1"/>
  <c r="AG9" i="1"/>
  <c r="AH9" i="1"/>
  <c r="AI9" i="1"/>
  <c r="Y10" i="1"/>
  <c r="Z10" i="1"/>
  <c r="AA10" i="1"/>
  <c r="AB10" i="1"/>
  <c r="AC10" i="1"/>
  <c r="AD10" i="1"/>
  <c r="AE10" i="1"/>
  <c r="AF10" i="1"/>
  <c r="AG10" i="1"/>
  <c r="AH10" i="1"/>
  <c r="AI10" i="1"/>
  <c r="Y11" i="1"/>
  <c r="Z11" i="1"/>
  <c r="AA11" i="1"/>
  <c r="AB11" i="1"/>
  <c r="AC11" i="1"/>
  <c r="AD11" i="1"/>
  <c r="AE11" i="1"/>
  <c r="AF11" i="1"/>
  <c r="AG11" i="1"/>
  <c r="AH11" i="1"/>
  <c r="AI11" i="1"/>
  <c r="Y12" i="1"/>
  <c r="Z12" i="1"/>
  <c r="AA12" i="1"/>
  <c r="AB12" i="1"/>
  <c r="AC12" i="1"/>
  <c r="AD12" i="1"/>
  <c r="AE12" i="1"/>
  <c r="AF12" i="1"/>
  <c r="AG12" i="1"/>
  <c r="AH12" i="1"/>
  <c r="AI12" i="1"/>
  <c r="Y13" i="1"/>
  <c r="Z13" i="1"/>
  <c r="AA13" i="1"/>
  <c r="AB13" i="1"/>
  <c r="AC13" i="1"/>
  <c r="AD13" i="1"/>
  <c r="AE13" i="1"/>
  <c r="AF13" i="1"/>
  <c r="AG13" i="1"/>
  <c r="AH13" i="1"/>
  <c r="AI13" i="1"/>
  <c r="Y14" i="1"/>
  <c r="Z14" i="1"/>
  <c r="AA14" i="1"/>
  <c r="AB14" i="1"/>
  <c r="AC14" i="1"/>
  <c r="AD14" i="1"/>
  <c r="AE14" i="1"/>
  <c r="AF14" i="1"/>
  <c r="AG14" i="1"/>
  <c r="AH14" i="1"/>
  <c r="AI14" i="1"/>
  <c r="Y15" i="1"/>
  <c r="Z15" i="1"/>
  <c r="AA15" i="1"/>
  <c r="AB15" i="1"/>
  <c r="AC15" i="1"/>
  <c r="AD15" i="1"/>
  <c r="AE15" i="1"/>
  <c r="AF15" i="1"/>
  <c r="AG15" i="1"/>
  <c r="AH15" i="1"/>
  <c r="AI15" i="1"/>
  <c r="Y16" i="1"/>
  <c r="Z16" i="1"/>
  <c r="AA16" i="1"/>
  <c r="AB16" i="1"/>
  <c r="AC16" i="1"/>
  <c r="AD16" i="1"/>
  <c r="AE16" i="1"/>
  <c r="AF16" i="1"/>
  <c r="AG16" i="1"/>
  <c r="AH16" i="1"/>
  <c r="AI16" i="1"/>
  <c r="Y17" i="1"/>
  <c r="Z17" i="1"/>
  <c r="AA17" i="1"/>
  <c r="AB17" i="1"/>
  <c r="AC17" i="1"/>
  <c r="AD17" i="1"/>
  <c r="AE17" i="1"/>
  <c r="AF17" i="1"/>
  <c r="AG17" i="1"/>
  <c r="AH17" i="1"/>
  <c r="AI17" i="1"/>
  <c r="Y18" i="1"/>
  <c r="Z18" i="1"/>
  <c r="AA18" i="1"/>
  <c r="AB18" i="1"/>
  <c r="AC18" i="1"/>
  <c r="AD18" i="1"/>
  <c r="AE18" i="1"/>
  <c r="AF18" i="1"/>
  <c r="AG18" i="1"/>
  <c r="AH18" i="1"/>
  <c r="AI18" i="1"/>
  <c r="Y19" i="1"/>
  <c r="Z19" i="1"/>
  <c r="AA19" i="1"/>
  <c r="AB19" i="1"/>
  <c r="AC19" i="1"/>
  <c r="AD19" i="1"/>
  <c r="AE19" i="1"/>
  <c r="AF19" i="1"/>
  <c r="AG19" i="1"/>
  <c r="AH19" i="1"/>
  <c r="AI19" i="1"/>
  <c r="Y20" i="1"/>
  <c r="Z20" i="1"/>
  <c r="AA20" i="1"/>
  <c r="AB20" i="1"/>
  <c r="AC20" i="1"/>
  <c r="AD20" i="1"/>
  <c r="AE20" i="1"/>
  <c r="AF20" i="1"/>
  <c r="AG20" i="1"/>
  <c r="AH20" i="1"/>
  <c r="AI20" i="1"/>
  <c r="Y21" i="1"/>
  <c r="Z21" i="1"/>
  <c r="AA21" i="1"/>
  <c r="AB21" i="1"/>
  <c r="AC21" i="1"/>
  <c r="AD21" i="1"/>
  <c r="AE21" i="1"/>
  <c r="AF21" i="1"/>
  <c r="AG21" i="1"/>
  <c r="AH21" i="1"/>
  <c r="AI21" i="1"/>
  <c r="Y22" i="1"/>
  <c r="Z22" i="1"/>
  <c r="AA22" i="1"/>
  <c r="AB22" i="1"/>
  <c r="AC22" i="1"/>
  <c r="AD22" i="1"/>
  <c r="AE22" i="1"/>
  <c r="AF22" i="1"/>
  <c r="AG22" i="1"/>
  <c r="AH22" i="1"/>
  <c r="AI22" i="1"/>
  <c r="Y23" i="1"/>
  <c r="Z23" i="1"/>
  <c r="AA23" i="1"/>
  <c r="AB23" i="1"/>
  <c r="AC23" i="1"/>
  <c r="AD23" i="1"/>
  <c r="AE23" i="1"/>
  <c r="AF23" i="1"/>
  <c r="AG23" i="1"/>
  <c r="AH23" i="1"/>
  <c r="AI23" i="1"/>
  <c r="Y24" i="1"/>
  <c r="Z24" i="1"/>
  <c r="AA24" i="1"/>
  <c r="AB24" i="1"/>
  <c r="AC24" i="1"/>
  <c r="AD24" i="1"/>
  <c r="AE24" i="1"/>
  <c r="AF24" i="1"/>
  <c r="AG24" i="1"/>
  <c r="AH24" i="1"/>
  <c r="AI24" i="1"/>
  <c r="Y25" i="1"/>
  <c r="Z25" i="1"/>
  <c r="AA25" i="1"/>
  <c r="AB25" i="1"/>
  <c r="AC25" i="1"/>
  <c r="AD25" i="1"/>
  <c r="AE25" i="1"/>
  <c r="AF25" i="1"/>
  <c r="AG25" i="1"/>
  <c r="AH25" i="1"/>
  <c r="AI25" i="1"/>
  <c r="Y26" i="1"/>
  <c r="Z26" i="1"/>
  <c r="AA26" i="1"/>
  <c r="AB26" i="1"/>
  <c r="AC26" i="1"/>
  <c r="AD26" i="1"/>
  <c r="AE26" i="1"/>
  <c r="AF26" i="1"/>
  <c r="AG26" i="1"/>
  <c r="AH26" i="1"/>
  <c r="AI26" i="1"/>
  <c r="Y27" i="1"/>
  <c r="Z27" i="1"/>
  <c r="AA27" i="1"/>
  <c r="AB27" i="1"/>
  <c r="AC27" i="1"/>
  <c r="AD27" i="1"/>
  <c r="AE27" i="1"/>
  <c r="AF27" i="1"/>
  <c r="AG27" i="1"/>
  <c r="AH27" i="1"/>
  <c r="AI27" i="1"/>
  <c r="Y28" i="1"/>
  <c r="Z28" i="1"/>
  <c r="AA28" i="1"/>
  <c r="AB28" i="1"/>
  <c r="AC28" i="1"/>
  <c r="AD28" i="1"/>
  <c r="AE28" i="1"/>
  <c r="AF28" i="1"/>
  <c r="AG28" i="1"/>
  <c r="AH28" i="1"/>
  <c r="AI28" i="1"/>
  <c r="Y29" i="1"/>
  <c r="Z29" i="1"/>
  <c r="AA29" i="1"/>
  <c r="AB29" i="1"/>
  <c r="AC29" i="1"/>
  <c r="AD29" i="1"/>
  <c r="AE29" i="1"/>
  <c r="AF29" i="1"/>
  <c r="AG29" i="1"/>
  <c r="AH29" i="1"/>
  <c r="AI29" i="1"/>
  <c r="Y30" i="1"/>
  <c r="Z30" i="1"/>
  <c r="AA30" i="1"/>
  <c r="AB30" i="1"/>
  <c r="AC30" i="1"/>
  <c r="AD30" i="1"/>
  <c r="AE30" i="1"/>
  <c r="AF30" i="1"/>
  <c r="AG30" i="1"/>
  <c r="AH30" i="1"/>
  <c r="AI30" i="1"/>
  <c r="Y31" i="1"/>
  <c r="Z31" i="1"/>
  <c r="AA31" i="1"/>
  <c r="AB31" i="1"/>
  <c r="AC31" i="1"/>
  <c r="AD31" i="1"/>
  <c r="AE31" i="1"/>
  <c r="AF31" i="1"/>
  <c r="AG31" i="1"/>
  <c r="AH31" i="1"/>
  <c r="AI31" i="1"/>
  <c r="Y32" i="1"/>
  <c r="Z32" i="1"/>
  <c r="AA32" i="1"/>
  <c r="AB32" i="1"/>
  <c r="AC32" i="1"/>
  <c r="AD32" i="1"/>
  <c r="AE32" i="1"/>
  <c r="AF32" i="1"/>
  <c r="AG32" i="1"/>
  <c r="AH32" i="1"/>
  <c r="AI32" i="1"/>
  <c r="Y33" i="1"/>
  <c r="Z33" i="1"/>
  <c r="AA33" i="1"/>
  <c r="AB33" i="1"/>
  <c r="AC33" i="1"/>
  <c r="AD33" i="1"/>
  <c r="AE33" i="1"/>
  <c r="AF33" i="1"/>
  <c r="AG33" i="1"/>
  <c r="AH33" i="1"/>
  <c r="AI33" i="1"/>
  <c r="Y34" i="1"/>
  <c r="Z34" i="1"/>
  <c r="AA34" i="1"/>
  <c r="AB34" i="1"/>
  <c r="AC34" i="1"/>
  <c r="AD34" i="1"/>
  <c r="AE34" i="1"/>
  <c r="AF34" i="1"/>
  <c r="AG34" i="1"/>
  <c r="AH34" i="1"/>
  <c r="AI34" i="1"/>
  <c r="Y35" i="1"/>
  <c r="Z35" i="1"/>
  <c r="AA35" i="1"/>
  <c r="AB35" i="1"/>
  <c r="AC35" i="1"/>
  <c r="AD35" i="1"/>
  <c r="AE35" i="1"/>
  <c r="AF35" i="1"/>
  <c r="AG35" i="1"/>
  <c r="AH35" i="1"/>
  <c r="AI35" i="1"/>
  <c r="Y36" i="1"/>
  <c r="Z36" i="1"/>
  <c r="AA36" i="1"/>
  <c r="AB36" i="1"/>
  <c r="AC36" i="1"/>
  <c r="AD36" i="1"/>
  <c r="AE36" i="1"/>
  <c r="AF36" i="1"/>
  <c r="AG36" i="1"/>
  <c r="AH36" i="1"/>
  <c r="AI36" i="1"/>
  <c r="Y37" i="1"/>
  <c r="Z37" i="1"/>
  <c r="AA37" i="1"/>
  <c r="AB37" i="1"/>
  <c r="AC37" i="1"/>
  <c r="AD37" i="1"/>
  <c r="AE37" i="1"/>
  <c r="AF37" i="1"/>
  <c r="AG37" i="1"/>
  <c r="AH37" i="1"/>
  <c r="AI37" i="1"/>
  <c r="Y38" i="1"/>
  <c r="Z38" i="1"/>
  <c r="AA38" i="1"/>
  <c r="AB38" i="1"/>
  <c r="AC38" i="1"/>
  <c r="AD38" i="1"/>
  <c r="AE38" i="1"/>
  <c r="AF38" i="1"/>
  <c r="AG38" i="1"/>
  <c r="AH38" i="1"/>
  <c r="AI38" i="1"/>
  <c r="Y39" i="1"/>
  <c r="Z39" i="1"/>
  <c r="AA39" i="1"/>
  <c r="AB39" i="1"/>
  <c r="AC39" i="1"/>
  <c r="AD39" i="1"/>
  <c r="AE39" i="1"/>
  <c r="AF39" i="1"/>
  <c r="AG39" i="1"/>
  <c r="AH39" i="1"/>
  <c r="AI39" i="1"/>
  <c r="Y40" i="1"/>
  <c r="Z40" i="1"/>
  <c r="AA40" i="1"/>
  <c r="AB40" i="1"/>
  <c r="AC40" i="1"/>
  <c r="AD40" i="1"/>
  <c r="AE40" i="1"/>
  <c r="AF40" i="1"/>
  <c r="AG40" i="1"/>
  <c r="AH40" i="1"/>
  <c r="AI40" i="1"/>
  <c r="Y41" i="1"/>
  <c r="Z41" i="1"/>
  <c r="AA41" i="1"/>
  <c r="AB41" i="1"/>
  <c r="AC41" i="1"/>
  <c r="AD41" i="1"/>
  <c r="AE41" i="1"/>
  <c r="AF41" i="1"/>
  <c r="AG41" i="1"/>
  <c r="AH41" i="1"/>
  <c r="AI41" i="1"/>
  <c r="Y42" i="1"/>
  <c r="Z42" i="1"/>
  <c r="AA42" i="1"/>
  <c r="AB42" i="1"/>
  <c r="AC42" i="1"/>
  <c r="AD42" i="1"/>
  <c r="AE42" i="1"/>
  <c r="AF42" i="1"/>
  <c r="AG42" i="1"/>
  <c r="AH42" i="1"/>
  <c r="AI42" i="1"/>
  <c r="Y43" i="1"/>
  <c r="Z43" i="1"/>
  <c r="AA43" i="1"/>
  <c r="AB43" i="1"/>
  <c r="AC43" i="1"/>
  <c r="AD43" i="1"/>
  <c r="AE43" i="1"/>
  <c r="AF43" i="1"/>
  <c r="AG43" i="1"/>
  <c r="AH43" i="1"/>
  <c r="AI43" i="1"/>
  <c r="Y44" i="1"/>
  <c r="Z44" i="1"/>
  <c r="AA44" i="1"/>
  <c r="AB44" i="1"/>
  <c r="AC44" i="1"/>
  <c r="AD44" i="1"/>
  <c r="AE44" i="1"/>
  <c r="AF44" i="1"/>
  <c r="AG44" i="1"/>
  <c r="AH44" i="1"/>
  <c r="AI44" i="1"/>
  <c r="Y45" i="1"/>
  <c r="Z45" i="1"/>
  <c r="AA45" i="1"/>
  <c r="AB45" i="1"/>
  <c r="AC45" i="1"/>
  <c r="AD45" i="1"/>
  <c r="AE45" i="1"/>
  <c r="AF45" i="1"/>
  <c r="AG45" i="1"/>
  <c r="AH45" i="1"/>
  <c r="AI45" i="1"/>
  <c r="Y46" i="1"/>
  <c r="Z46" i="1"/>
  <c r="AA46" i="1"/>
  <c r="AB46" i="1"/>
  <c r="AC46" i="1"/>
  <c r="AD46" i="1"/>
  <c r="AE46" i="1"/>
  <c r="AF46" i="1"/>
  <c r="AG46" i="1"/>
  <c r="AH46" i="1"/>
  <c r="AI46" i="1"/>
  <c r="Y47" i="1"/>
  <c r="Z47" i="1"/>
  <c r="AA47" i="1"/>
  <c r="AB47" i="1"/>
  <c r="AC47" i="1"/>
  <c r="AD47" i="1"/>
  <c r="AE47" i="1"/>
  <c r="AF47" i="1"/>
  <c r="AG47" i="1"/>
  <c r="AH47" i="1"/>
  <c r="AI47" i="1"/>
  <c r="Y48" i="1"/>
  <c r="Z48" i="1"/>
  <c r="AA48" i="1"/>
  <c r="AB48" i="1"/>
  <c r="AC48" i="1"/>
  <c r="AD48" i="1"/>
  <c r="AE48" i="1"/>
  <c r="AF48" i="1"/>
  <c r="AG48" i="1"/>
  <c r="AH48" i="1"/>
  <c r="AI48" i="1"/>
  <c r="Y49" i="1"/>
  <c r="Z49" i="1"/>
  <c r="AA49" i="1"/>
  <c r="AB49" i="1"/>
  <c r="AC49" i="1"/>
  <c r="AD49" i="1"/>
  <c r="AE49" i="1"/>
  <c r="AF49" i="1"/>
  <c r="AG49" i="1"/>
  <c r="AH49" i="1"/>
  <c r="AI49" i="1"/>
  <c r="Y50" i="1"/>
  <c r="Z50" i="1"/>
  <c r="AA50" i="1"/>
  <c r="AB50" i="1"/>
  <c r="AC50" i="1"/>
  <c r="AD50" i="1"/>
  <c r="AE50" i="1"/>
  <c r="AF50" i="1"/>
  <c r="AG50" i="1"/>
  <c r="AH50" i="1"/>
  <c r="AI50" i="1"/>
  <c r="Y51" i="1"/>
  <c r="Z51" i="1"/>
  <c r="AA51" i="1"/>
  <c r="AB51" i="1"/>
  <c r="AC51" i="1"/>
  <c r="AD51" i="1"/>
  <c r="AE51" i="1"/>
  <c r="AF51" i="1"/>
  <c r="AG51" i="1"/>
  <c r="AH51" i="1"/>
  <c r="AI51" i="1"/>
  <c r="Y52" i="1"/>
  <c r="Z52" i="1"/>
  <c r="AA52" i="1"/>
  <c r="AB52" i="1"/>
  <c r="AC52" i="1"/>
  <c r="AD52" i="1"/>
  <c r="AE52" i="1"/>
  <c r="AF52" i="1"/>
  <c r="AG52" i="1"/>
  <c r="AH52" i="1"/>
  <c r="AI52" i="1"/>
  <c r="Y53" i="1"/>
  <c r="Z53" i="1"/>
  <c r="AA53" i="1"/>
  <c r="AB53" i="1"/>
  <c r="AC53" i="1"/>
  <c r="AD53" i="1"/>
  <c r="AE53" i="1"/>
  <c r="AF53" i="1"/>
  <c r="AG53" i="1"/>
  <c r="AH53" i="1"/>
  <c r="AI53" i="1"/>
  <c r="Y54" i="1"/>
  <c r="Z54" i="1"/>
  <c r="AA54" i="1"/>
  <c r="AB54" i="1"/>
  <c r="AC54" i="1"/>
  <c r="AD54" i="1"/>
  <c r="AE54" i="1"/>
  <c r="AF54" i="1"/>
  <c r="AG54" i="1"/>
  <c r="AH54" i="1"/>
  <c r="AI54" i="1"/>
  <c r="Y55" i="1"/>
  <c r="Z55" i="1"/>
  <c r="AA55" i="1"/>
  <c r="AB55" i="1"/>
  <c r="AC55" i="1"/>
  <c r="AD55" i="1"/>
  <c r="AE55" i="1"/>
  <c r="AF55" i="1"/>
  <c r="AG55" i="1"/>
  <c r="AH55" i="1"/>
  <c r="AI55" i="1"/>
  <c r="Y56" i="1"/>
  <c r="Z56" i="1"/>
  <c r="AA56" i="1"/>
  <c r="AB56" i="1"/>
  <c r="AC56" i="1"/>
  <c r="AD56" i="1"/>
  <c r="AE56" i="1"/>
  <c r="AF56" i="1"/>
  <c r="AG56" i="1"/>
  <c r="AH56" i="1"/>
  <c r="AI56" i="1"/>
  <c r="Y57" i="1"/>
  <c r="Z57" i="1"/>
  <c r="AA57" i="1"/>
  <c r="AB57" i="1"/>
  <c r="AC57" i="1"/>
  <c r="AD57" i="1"/>
  <c r="AE57" i="1"/>
  <c r="AF57" i="1"/>
  <c r="AG57" i="1"/>
  <c r="AH57" i="1"/>
  <c r="AI57" i="1"/>
  <c r="Y58" i="1"/>
  <c r="Z58" i="1"/>
  <c r="AA58" i="1"/>
  <c r="AB58" i="1"/>
  <c r="AC58" i="1"/>
  <c r="AD58" i="1"/>
  <c r="AE58" i="1"/>
  <c r="AF58" i="1"/>
  <c r="AG58" i="1"/>
  <c r="AH58" i="1"/>
  <c r="AI58" i="1"/>
  <c r="Y59" i="1"/>
  <c r="Z59" i="1"/>
  <c r="AA59" i="1"/>
  <c r="AB59" i="1"/>
  <c r="AC59" i="1"/>
  <c r="AD59" i="1"/>
  <c r="AE59" i="1"/>
  <c r="AF59" i="1"/>
  <c r="AG59" i="1"/>
  <c r="AH59" i="1"/>
  <c r="AI59" i="1"/>
  <c r="Y60" i="1"/>
  <c r="Z60" i="1"/>
  <c r="AA60" i="1"/>
  <c r="AB60" i="1"/>
  <c r="AC60" i="1"/>
  <c r="AD60" i="1"/>
  <c r="AE60" i="1"/>
  <c r="AF60" i="1"/>
  <c r="AG60" i="1"/>
  <c r="AH60" i="1"/>
  <c r="AI60" i="1"/>
  <c r="Y61" i="1"/>
  <c r="Z61" i="1"/>
  <c r="AA61" i="1"/>
  <c r="AB61" i="1"/>
  <c r="AC61" i="1"/>
  <c r="AD61" i="1"/>
  <c r="AE61" i="1"/>
  <c r="AF61" i="1"/>
  <c r="AG61" i="1"/>
  <c r="AH61" i="1"/>
  <c r="AI61" i="1"/>
  <c r="Y62" i="1"/>
  <c r="Z62" i="1"/>
  <c r="AA62" i="1"/>
  <c r="AB62" i="1"/>
  <c r="AC62" i="1"/>
  <c r="AD62" i="1"/>
  <c r="AE62" i="1"/>
  <c r="AF62" i="1"/>
  <c r="AG62" i="1"/>
  <c r="AH62" i="1"/>
  <c r="AI62" i="1"/>
  <c r="Y63" i="1"/>
  <c r="Z63" i="1"/>
  <c r="AA63" i="1"/>
  <c r="AB63" i="1"/>
  <c r="AC63" i="1"/>
  <c r="AD63" i="1"/>
  <c r="AE63" i="1"/>
  <c r="AF63" i="1"/>
  <c r="AG63" i="1"/>
  <c r="AH63" i="1"/>
  <c r="AI63" i="1"/>
  <c r="Y64" i="1"/>
  <c r="Z64" i="1"/>
  <c r="AA64" i="1"/>
  <c r="AB64" i="1"/>
  <c r="AC64" i="1"/>
  <c r="AD64" i="1"/>
  <c r="AE64" i="1"/>
  <c r="AF64" i="1"/>
  <c r="AG64" i="1"/>
  <c r="AH64" i="1"/>
  <c r="AI64" i="1"/>
  <c r="Y65" i="1"/>
  <c r="Z65" i="1"/>
  <c r="AA65" i="1"/>
  <c r="AB65" i="1"/>
  <c r="AC65" i="1"/>
  <c r="AD65" i="1"/>
  <c r="AE65" i="1"/>
  <c r="AF65" i="1"/>
  <c r="AG65" i="1"/>
  <c r="AH65" i="1"/>
  <c r="AI65" i="1"/>
  <c r="Y66" i="1"/>
  <c r="Z66" i="1"/>
  <c r="AA66" i="1"/>
  <c r="AB66" i="1"/>
  <c r="AC66" i="1"/>
  <c r="AD66" i="1"/>
  <c r="AE66" i="1"/>
  <c r="AF66" i="1"/>
  <c r="AG66" i="1"/>
  <c r="AH66" i="1"/>
  <c r="AI66" i="1"/>
  <c r="Y67" i="1"/>
  <c r="Z67" i="1"/>
  <c r="AA67" i="1"/>
  <c r="AB67" i="1"/>
  <c r="AC67" i="1"/>
  <c r="AD67" i="1"/>
  <c r="AE67" i="1"/>
  <c r="AF67" i="1"/>
  <c r="AG67" i="1"/>
  <c r="AH67" i="1"/>
  <c r="AI67" i="1"/>
  <c r="Y68" i="1"/>
  <c r="Z68" i="1"/>
  <c r="AA68" i="1"/>
  <c r="AB68" i="1"/>
  <c r="AC68" i="1"/>
  <c r="AD68" i="1"/>
  <c r="AE68" i="1"/>
  <c r="AF68" i="1"/>
  <c r="AG68" i="1"/>
  <c r="AH68" i="1"/>
  <c r="AI68" i="1"/>
  <c r="Y69" i="1"/>
  <c r="Z69" i="1"/>
  <c r="AA69" i="1"/>
  <c r="AB69" i="1"/>
  <c r="AC69" i="1"/>
  <c r="AD69" i="1"/>
  <c r="AE69" i="1"/>
  <c r="AF69" i="1"/>
  <c r="AG69" i="1"/>
  <c r="AH69" i="1"/>
  <c r="AI69" i="1"/>
  <c r="Y70" i="1"/>
  <c r="Z70" i="1"/>
  <c r="AA70" i="1"/>
  <c r="AB70" i="1"/>
  <c r="AC70" i="1"/>
  <c r="AD70" i="1"/>
  <c r="AE70" i="1"/>
  <c r="AF70" i="1"/>
  <c r="AG70" i="1"/>
  <c r="AH70" i="1"/>
  <c r="AI70" i="1"/>
  <c r="Y71" i="1"/>
  <c r="Z71" i="1"/>
  <c r="AA71" i="1"/>
  <c r="AB71" i="1"/>
  <c r="AC71" i="1"/>
  <c r="AD71" i="1"/>
  <c r="AE71" i="1"/>
  <c r="AF71" i="1"/>
  <c r="AG71" i="1"/>
  <c r="AH71" i="1"/>
  <c r="AI71" i="1"/>
  <c r="Y72" i="1"/>
  <c r="Z72" i="1"/>
  <c r="AA72" i="1"/>
  <c r="AB72" i="1"/>
  <c r="AC72" i="1"/>
  <c r="AD72" i="1"/>
  <c r="AE72" i="1"/>
  <c r="AF72" i="1"/>
  <c r="AG72" i="1"/>
  <c r="AH72" i="1"/>
  <c r="AI72" i="1"/>
  <c r="Y73" i="1"/>
  <c r="Z73" i="1"/>
  <c r="AA73" i="1"/>
  <c r="AB73" i="1"/>
  <c r="AC73" i="1"/>
  <c r="AD73" i="1"/>
  <c r="AE73" i="1"/>
  <c r="AF73" i="1"/>
  <c r="AG73" i="1"/>
  <c r="AH73" i="1"/>
  <c r="AI73" i="1"/>
  <c r="Y74" i="1"/>
  <c r="Z74" i="1"/>
  <c r="AA74" i="1"/>
  <c r="AB74" i="1"/>
  <c r="AC74" i="1"/>
  <c r="AD74" i="1"/>
  <c r="AE74" i="1"/>
  <c r="AF74" i="1"/>
  <c r="AG74" i="1"/>
  <c r="AH74" i="1"/>
  <c r="AI74" i="1"/>
  <c r="Y75" i="1"/>
  <c r="Z75" i="1"/>
  <c r="AA75" i="1"/>
  <c r="AB75" i="1"/>
  <c r="AC75" i="1"/>
  <c r="AD75" i="1"/>
  <c r="AE75" i="1"/>
  <c r="AF75" i="1"/>
  <c r="AG75" i="1"/>
  <c r="AH75" i="1"/>
  <c r="AI75" i="1"/>
  <c r="Y76" i="1"/>
  <c r="Z76" i="1"/>
  <c r="AA76" i="1"/>
  <c r="AB76" i="1"/>
  <c r="AC76" i="1"/>
  <c r="AD76" i="1"/>
  <c r="AE76" i="1"/>
  <c r="AF76" i="1"/>
  <c r="AG76" i="1"/>
  <c r="AH76" i="1"/>
  <c r="AI76" i="1"/>
  <c r="Y77" i="1"/>
  <c r="Z77" i="1"/>
  <c r="AA77" i="1"/>
  <c r="AB77" i="1"/>
  <c r="AC77" i="1"/>
  <c r="AD77" i="1"/>
  <c r="AE77" i="1"/>
  <c r="AF77" i="1"/>
  <c r="AG77" i="1"/>
  <c r="AH77" i="1"/>
  <c r="AI77" i="1"/>
  <c r="Y78" i="1"/>
  <c r="Z78" i="1"/>
  <c r="AA78" i="1"/>
  <c r="AB78" i="1"/>
  <c r="AC78" i="1"/>
  <c r="AD78" i="1"/>
  <c r="AE78" i="1"/>
  <c r="AF78" i="1"/>
  <c r="AG78" i="1"/>
  <c r="AH78" i="1"/>
  <c r="AI78" i="1"/>
  <c r="Y79" i="1"/>
  <c r="Z79" i="1"/>
  <c r="AA79" i="1"/>
  <c r="AB79" i="1"/>
  <c r="AC79" i="1"/>
  <c r="AD79" i="1"/>
  <c r="AE79" i="1"/>
  <c r="AF79" i="1"/>
  <c r="AG79" i="1"/>
  <c r="AH79" i="1"/>
  <c r="AI79" i="1"/>
  <c r="Y80" i="1"/>
  <c r="Z80" i="1"/>
  <c r="AA80" i="1"/>
  <c r="AB80" i="1"/>
  <c r="AC80" i="1"/>
  <c r="AD80" i="1"/>
  <c r="AE80" i="1"/>
  <c r="AF80" i="1"/>
  <c r="AG80" i="1"/>
  <c r="AH80" i="1"/>
  <c r="AI80" i="1"/>
  <c r="Y81" i="1"/>
  <c r="Z81" i="1"/>
  <c r="AA81" i="1"/>
  <c r="AB81" i="1"/>
  <c r="AC81" i="1"/>
  <c r="AD81" i="1"/>
  <c r="AE81" i="1"/>
  <c r="AF81" i="1"/>
  <c r="AG81" i="1"/>
  <c r="AH81" i="1"/>
  <c r="AI81" i="1"/>
  <c r="Y82" i="1"/>
  <c r="Z82" i="1"/>
  <c r="AA82" i="1"/>
  <c r="AB82" i="1"/>
  <c r="AC82" i="1"/>
  <c r="AD82" i="1"/>
  <c r="AE82" i="1"/>
  <c r="AF82" i="1"/>
  <c r="AG82" i="1"/>
  <c r="AH82" i="1"/>
  <c r="AI82" i="1"/>
  <c r="Y83" i="1"/>
  <c r="Z83" i="1"/>
  <c r="AA83" i="1"/>
  <c r="AB83" i="1"/>
  <c r="AC83" i="1"/>
  <c r="AD83" i="1"/>
  <c r="AE83" i="1"/>
  <c r="AF83" i="1"/>
  <c r="AG83" i="1"/>
  <c r="AH83" i="1"/>
  <c r="AI83" i="1"/>
  <c r="Y84" i="1"/>
  <c r="Z84" i="1"/>
  <c r="AA84" i="1"/>
  <c r="AB84" i="1"/>
  <c r="AC84" i="1"/>
  <c r="AD84" i="1"/>
  <c r="AE84" i="1"/>
  <c r="AF84" i="1"/>
  <c r="AG84" i="1"/>
  <c r="AH84" i="1"/>
  <c r="AI84" i="1"/>
  <c r="Y85" i="1"/>
  <c r="Z85" i="1"/>
  <c r="AA85" i="1"/>
  <c r="AB85" i="1"/>
  <c r="AC85" i="1"/>
  <c r="AD85" i="1"/>
  <c r="AE85" i="1"/>
  <c r="AF85" i="1"/>
  <c r="AG85" i="1"/>
  <c r="AH85" i="1"/>
  <c r="AI85" i="1"/>
  <c r="Y86" i="1"/>
  <c r="Z86" i="1"/>
  <c r="AA86" i="1"/>
  <c r="AB86" i="1"/>
  <c r="AC86" i="1"/>
  <c r="AD86" i="1"/>
  <c r="AE86" i="1"/>
  <c r="AF86" i="1"/>
  <c r="AG86" i="1"/>
  <c r="AH86" i="1"/>
  <c r="AI86" i="1"/>
  <c r="Y87" i="1"/>
  <c r="Z87" i="1"/>
  <c r="AA87" i="1"/>
  <c r="AB87" i="1"/>
  <c r="AC87" i="1"/>
  <c r="AD87" i="1"/>
  <c r="AE87" i="1"/>
  <c r="AF87" i="1"/>
  <c r="AG87" i="1"/>
  <c r="AH87" i="1"/>
  <c r="AI87" i="1"/>
  <c r="Y88" i="1"/>
  <c r="Z88" i="1"/>
  <c r="AA88" i="1"/>
  <c r="AB88" i="1"/>
  <c r="AC88" i="1"/>
  <c r="AD88" i="1"/>
  <c r="AE88" i="1"/>
  <c r="AF88" i="1"/>
  <c r="AG88" i="1"/>
  <c r="AH88" i="1"/>
  <c r="AI88" i="1"/>
  <c r="Y89" i="1"/>
  <c r="Z89" i="1"/>
  <c r="AA89" i="1"/>
  <c r="AB89" i="1"/>
  <c r="AC89" i="1"/>
  <c r="AD89" i="1"/>
  <c r="AE89" i="1"/>
  <c r="AF89" i="1"/>
  <c r="AG89" i="1"/>
  <c r="AH89" i="1"/>
  <c r="AI89" i="1"/>
  <c r="Y90" i="1"/>
  <c r="Z90" i="1"/>
  <c r="AA90" i="1"/>
  <c r="AB90" i="1"/>
  <c r="AC90" i="1"/>
  <c r="AD90" i="1"/>
  <c r="AE90" i="1"/>
  <c r="AF90" i="1"/>
  <c r="AG90" i="1"/>
  <c r="AH90" i="1"/>
  <c r="AI90" i="1"/>
  <c r="Y91" i="1"/>
  <c r="Z91" i="1"/>
  <c r="AA91" i="1"/>
  <c r="AB91" i="1"/>
  <c r="AC91" i="1"/>
  <c r="AD91" i="1"/>
  <c r="AE91" i="1"/>
  <c r="AF91" i="1"/>
  <c r="AG91" i="1"/>
  <c r="AH91" i="1"/>
  <c r="AI91" i="1"/>
  <c r="Y92" i="1"/>
  <c r="Z92" i="1"/>
  <c r="AA92" i="1"/>
  <c r="AB92" i="1"/>
  <c r="AC92" i="1"/>
  <c r="AD92" i="1"/>
  <c r="AE92" i="1"/>
  <c r="AF92" i="1"/>
  <c r="AG92" i="1"/>
  <c r="AH92" i="1"/>
  <c r="AI92" i="1"/>
  <c r="Y93" i="1"/>
  <c r="Z93" i="1"/>
  <c r="AA93" i="1"/>
  <c r="AB93" i="1"/>
  <c r="AC93" i="1"/>
  <c r="AD93" i="1"/>
  <c r="AE93" i="1"/>
  <c r="AF93" i="1"/>
  <c r="AG93" i="1"/>
  <c r="AH93" i="1"/>
  <c r="AI93" i="1"/>
  <c r="Y94" i="1"/>
  <c r="Z94" i="1"/>
  <c r="AA94" i="1"/>
  <c r="AB94" i="1"/>
  <c r="AC94" i="1"/>
  <c r="AD94" i="1"/>
  <c r="AE94" i="1"/>
  <c r="AF94" i="1"/>
  <c r="AG94" i="1"/>
  <c r="AH94" i="1"/>
  <c r="AI94" i="1"/>
  <c r="Y95" i="1"/>
  <c r="Z95" i="1"/>
  <c r="AA95" i="1"/>
  <c r="AB95" i="1"/>
  <c r="AC95" i="1"/>
  <c r="AD95" i="1"/>
  <c r="AE95" i="1"/>
  <c r="AF95" i="1"/>
  <c r="AG95" i="1"/>
  <c r="AH95" i="1"/>
  <c r="AI95" i="1"/>
  <c r="Y96" i="1"/>
  <c r="Z96" i="1"/>
  <c r="AA96" i="1"/>
  <c r="AB96" i="1"/>
  <c r="AC96" i="1"/>
  <c r="AD96" i="1"/>
  <c r="AE96" i="1"/>
  <c r="AF96" i="1"/>
  <c r="AG96" i="1"/>
  <c r="AH96" i="1"/>
  <c r="AI96" i="1"/>
  <c r="Y97" i="1"/>
  <c r="Z97" i="1"/>
  <c r="AA97" i="1"/>
  <c r="AB97" i="1"/>
  <c r="AC97" i="1"/>
  <c r="AD97" i="1"/>
  <c r="AE97" i="1"/>
  <c r="AF97" i="1"/>
  <c r="AG97" i="1"/>
  <c r="AH97" i="1"/>
  <c r="AI97" i="1"/>
  <c r="Y98" i="1"/>
  <c r="Z98" i="1"/>
  <c r="AA98" i="1"/>
  <c r="AB98" i="1"/>
  <c r="AC98" i="1"/>
  <c r="AD98" i="1"/>
  <c r="AE98" i="1"/>
  <c r="AF98" i="1"/>
  <c r="AG98" i="1"/>
  <c r="AH98" i="1"/>
  <c r="AI98" i="1"/>
  <c r="Y99" i="1"/>
  <c r="Z99" i="1"/>
  <c r="AA99" i="1"/>
  <c r="AB99" i="1"/>
  <c r="AC99" i="1"/>
  <c r="AD99" i="1"/>
  <c r="AE99" i="1"/>
  <c r="AF99" i="1"/>
  <c r="AG99" i="1"/>
  <c r="AH99" i="1"/>
  <c r="AI99" i="1"/>
  <c r="Y100" i="1"/>
  <c r="Z100" i="1"/>
  <c r="AA100" i="1"/>
  <c r="AB100" i="1"/>
  <c r="AC100" i="1"/>
  <c r="AD100" i="1"/>
  <c r="AE100" i="1"/>
  <c r="AF100" i="1"/>
  <c r="AG100" i="1"/>
  <c r="AH100" i="1"/>
  <c r="AI100" i="1"/>
  <c r="Y101" i="1"/>
  <c r="Z101" i="1"/>
  <c r="AA101" i="1"/>
  <c r="AB101" i="1"/>
  <c r="AC101" i="1"/>
  <c r="AD101" i="1"/>
  <c r="AE101" i="1"/>
  <c r="AF101" i="1"/>
  <c r="AG101" i="1"/>
  <c r="AH101" i="1"/>
  <c r="AI101" i="1"/>
  <c r="Y102" i="1"/>
  <c r="Z102" i="1"/>
  <c r="AA102" i="1"/>
  <c r="AB102" i="1"/>
  <c r="AC102" i="1"/>
  <c r="AD102" i="1"/>
  <c r="AE102" i="1"/>
  <c r="AF102" i="1"/>
  <c r="AG102" i="1"/>
  <c r="AH102" i="1"/>
  <c r="AI102" i="1"/>
  <c r="Y103" i="1"/>
  <c r="Z103" i="1"/>
  <c r="AA103" i="1"/>
  <c r="AB103" i="1"/>
  <c r="AC103" i="1"/>
  <c r="AD103" i="1"/>
  <c r="AE103" i="1"/>
  <c r="AF103" i="1"/>
  <c r="AG103" i="1"/>
  <c r="AH103" i="1"/>
  <c r="AI103" i="1"/>
  <c r="Y104" i="1"/>
  <c r="Z104" i="1"/>
  <c r="AA104" i="1"/>
  <c r="AB104" i="1"/>
  <c r="AC104" i="1"/>
  <c r="AD104" i="1"/>
  <c r="AE104" i="1"/>
  <c r="AF104" i="1"/>
  <c r="AG104" i="1"/>
  <c r="AH104" i="1"/>
  <c r="AI104" i="1"/>
  <c r="Y105" i="1"/>
  <c r="Z105" i="1"/>
  <c r="AA105" i="1"/>
  <c r="AB105" i="1"/>
  <c r="AC105" i="1"/>
  <c r="AD105" i="1"/>
  <c r="AE105" i="1"/>
  <c r="AF105" i="1"/>
  <c r="AG105" i="1"/>
  <c r="AH105" i="1"/>
  <c r="AI105" i="1"/>
  <c r="Y106" i="1"/>
  <c r="Z106" i="1"/>
  <c r="AA106" i="1"/>
  <c r="AB106" i="1"/>
  <c r="AC106" i="1"/>
  <c r="AD106" i="1"/>
  <c r="AE106" i="1"/>
  <c r="AF106" i="1"/>
  <c r="AG106" i="1"/>
  <c r="AH106" i="1"/>
  <c r="AI106" i="1"/>
  <c r="Y107" i="1"/>
  <c r="Z107" i="1"/>
  <c r="AA107" i="1"/>
  <c r="AB107" i="1"/>
  <c r="AC107" i="1"/>
  <c r="AD107" i="1"/>
  <c r="AE107" i="1"/>
  <c r="AF107" i="1"/>
  <c r="AG107" i="1"/>
  <c r="AH107" i="1"/>
  <c r="AI107" i="1"/>
  <c r="Y108" i="1"/>
  <c r="Z108" i="1"/>
  <c r="AA108" i="1"/>
  <c r="AB108" i="1"/>
  <c r="AC108" i="1"/>
  <c r="AD108" i="1"/>
  <c r="AE108" i="1"/>
  <c r="AF108" i="1"/>
  <c r="AG108" i="1"/>
  <c r="AH108" i="1"/>
  <c r="AI108" i="1"/>
  <c r="Y109" i="1"/>
  <c r="Z109" i="1"/>
  <c r="AA109" i="1"/>
  <c r="AB109" i="1"/>
  <c r="AC109" i="1"/>
  <c r="AD109" i="1"/>
  <c r="AE109" i="1"/>
  <c r="AF109" i="1"/>
  <c r="AG109" i="1"/>
  <c r="AH109" i="1"/>
  <c r="AI109" i="1"/>
  <c r="Y110" i="1"/>
  <c r="Z110" i="1"/>
  <c r="AA110" i="1"/>
  <c r="AB110" i="1"/>
  <c r="AC110" i="1"/>
  <c r="AD110" i="1"/>
  <c r="AE110" i="1"/>
  <c r="AF110" i="1"/>
  <c r="AG110" i="1"/>
  <c r="AH110" i="1"/>
  <c r="AI110" i="1"/>
  <c r="Y111" i="1"/>
  <c r="Z111" i="1"/>
  <c r="AA111" i="1"/>
  <c r="AB111" i="1"/>
  <c r="AC111" i="1"/>
  <c r="AD111" i="1"/>
  <c r="AE111" i="1"/>
  <c r="AF111" i="1"/>
  <c r="AG111" i="1"/>
  <c r="AH111" i="1"/>
  <c r="AI111" i="1"/>
  <c r="Y112" i="1"/>
  <c r="Z112" i="1"/>
  <c r="AA112" i="1"/>
  <c r="AB112" i="1"/>
  <c r="AC112" i="1"/>
  <c r="AD112" i="1"/>
  <c r="AE112" i="1"/>
  <c r="AF112" i="1"/>
  <c r="AG112" i="1"/>
  <c r="AH112" i="1"/>
  <c r="AI112" i="1"/>
  <c r="Y113" i="1"/>
  <c r="Z113" i="1"/>
  <c r="AA113" i="1"/>
  <c r="AB113" i="1"/>
  <c r="AC113" i="1"/>
  <c r="AD113" i="1"/>
  <c r="AE113" i="1"/>
  <c r="AF113" i="1"/>
  <c r="AG113" i="1"/>
  <c r="AH113" i="1"/>
  <c r="AI113" i="1"/>
  <c r="Y114" i="1"/>
  <c r="Z114" i="1"/>
  <c r="AA114" i="1"/>
  <c r="AB114" i="1"/>
  <c r="AC114" i="1"/>
  <c r="AD114" i="1"/>
  <c r="AE114" i="1"/>
  <c r="AF114" i="1"/>
  <c r="AG114" i="1"/>
  <c r="AH114" i="1"/>
  <c r="AI114" i="1"/>
  <c r="Y115" i="1"/>
  <c r="Z115" i="1"/>
  <c r="AA115" i="1"/>
  <c r="AB115" i="1"/>
  <c r="AC115" i="1"/>
  <c r="AD115" i="1"/>
  <c r="AE115" i="1"/>
  <c r="AF115" i="1"/>
  <c r="AG115" i="1"/>
  <c r="AH115" i="1"/>
  <c r="AI115" i="1"/>
  <c r="Y116" i="1"/>
  <c r="Z116" i="1"/>
  <c r="AA116" i="1"/>
  <c r="AB116" i="1"/>
  <c r="AC116" i="1"/>
  <c r="AD116" i="1"/>
  <c r="AE116" i="1"/>
  <c r="AF116" i="1"/>
  <c r="AG116" i="1"/>
  <c r="AH116" i="1"/>
  <c r="AI116" i="1"/>
  <c r="Y117" i="1"/>
  <c r="Z117" i="1"/>
  <c r="AA117" i="1"/>
  <c r="AB117" i="1"/>
  <c r="AC117" i="1"/>
  <c r="AD117" i="1"/>
  <c r="AE117" i="1"/>
  <c r="AF117" i="1"/>
  <c r="AG117" i="1"/>
  <c r="AH117" i="1"/>
  <c r="AI117" i="1"/>
  <c r="Y118" i="1"/>
  <c r="Z118" i="1"/>
  <c r="AA118" i="1"/>
  <c r="AB118" i="1"/>
  <c r="AC118" i="1"/>
  <c r="AD118" i="1"/>
  <c r="AE118" i="1"/>
  <c r="AF118" i="1"/>
  <c r="AG118" i="1"/>
  <c r="AH118" i="1"/>
  <c r="AI118" i="1"/>
  <c r="Y119" i="1"/>
  <c r="Z119" i="1"/>
  <c r="AA119" i="1"/>
  <c r="AB119" i="1"/>
  <c r="AC119" i="1"/>
  <c r="AD119" i="1"/>
  <c r="AE119" i="1"/>
  <c r="AF119" i="1"/>
  <c r="AG119" i="1"/>
  <c r="AH119" i="1"/>
  <c r="AI119" i="1"/>
  <c r="Y120" i="1"/>
  <c r="Z120" i="1"/>
  <c r="AA120" i="1"/>
  <c r="AB120" i="1"/>
  <c r="AC120" i="1"/>
  <c r="AD120" i="1"/>
  <c r="AE120" i="1"/>
  <c r="AF120" i="1"/>
  <c r="AG120" i="1"/>
  <c r="AH120" i="1"/>
  <c r="AI120" i="1"/>
  <c r="Y121" i="1"/>
  <c r="Z121" i="1"/>
  <c r="AA121" i="1"/>
  <c r="AB121" i="1"/>
  <c r="AC121" i="1"/>
  <c r="AD121" i="1"/>
  <c r="AE121" i="1"/>
  <c r="AF121" i="1"/>
  <c r="AG121" i="1"/>
  <c r="AH121" i="1"/>
  <c r="AI121" i="1"/>
  <c r="Y122" i="1"/>
  <c r="Z122" i="1"/>
  <c r="AA122" i="1"/>
  <c r="AB122" i="1"/>
  <c r="AC122" i="1"/>
  <c r="AD122" i="1"/>
  <c r="AE122" i="1"/>
  <c r="AF122" i="1"/>
  <c r="AG122" i="1"/>
  <c r="AH122" i="1"/>
  <c r="AI122" i="1"/>
  <c r="Y123" i="1"/>
  <c r="Z123" i="1"/>
  <c r="AA123" i="1"/>
  <c r="AB123" i="1"/>
  <c r="AC123" i="1"/>
  <c r="AD123" i="1"/>
  <c r="AE123" i="1"/>
  <c r="AF123" i="1"/>
  <c r="AG123" i="1"/>
  <c r="AH123" i="1"/>
  <c r="AI123" i="1"/>
  <c r="Y124" i="1"/>
  <c r="Z124" i="1"/>
  <c r="AA124" i="1"/>
  <c r="AB124" i="1"/>
  <c r="AC124" i="1"/>
  <c r="AD124" i="1"/>
  <c r="AE124" i="1"/>
  <c r="AF124" i="1"/>
  <c r="AG124" i="1"/>
  <c r="AH124" i="1"/>
  <c r="AI124" i="1"/>
  <c r="Y125" i="1"/>
  <c r="Z125" i="1"/>
  <c r="AA125" i="1"/>
  <c r="AB125" i="1"/>
  <c r="AC125" i="1"/>
  <c r="AD125" i="1"/>
  <c r="AE125" i="1"/>
  <c r="AF125" i="1"/>
  <c r="AG125" i="1"/>
  <c r="AH125" i="1"/>
  <c r="AI125" i="1"/>
  <c r="Y126" i="1"/>
  <c r="Z126" i="1"/>
  <c r="AA126" i="1"/>
  <c r="AB126" i="1"/>
  <c r="AC126" i="1"/>
  <c r="AD126" i="1"/>
  <c r="AE126" i="1"/>
  <c r="AF126" i="1"/>
  <c r="AG126" i="1"/>
  <c r="AH126" i="1"/>
  <c r="AI126" i="1"/>
  <c r="Y127" i="1"/>
  <c r="Z127" i="1"/>
  <c r="AA127" i="1"/>
  <c r="AB127" i="1"/>
  <c r="AC127" i="1"/>
  <c r="AD127" i="1"/>
  <c r="AE127" i="1"/>
  <c r="AF127" i="1"/>
  <c r="AG127" i="1"/>
  <c r="AH127" i="1"/>
  <c r="AI127" i="1"/>
  <c r="Y128" i="1"/>
  <c r="Z128" i="1"/>
  <c r="AA128" i="1"/>
  <c r="AB128" i="1"/>
  <c r="AC128" i="1"/>
  <c r="AD128" i="1"/>
  <c r="AE128" i="1"/>
  <c r="AF128" i="1"/>
  <c r="AG128" i="1"/>
  <c r="AH128" i="1"/>
  <c r="AI128" i="1"/>
  <c r="Y129" i="1"/>
  <c r="Z129" i="1"/>
  <c r="AA129" i="1"/>
  <c r="AB129" i="1"/>
  <c r="AC129" i="1"/>
  <c r="AD129" i="1"/>
  <c r="AE129" i="1"/>
  <c r="AF129" i="1"/>
  <c r="AG129" i="1"/>
  <c r="AH129" i="1"/>
  <c r="AI129" i="1"/>
  <c r="Y130" i="1"/>
  <c r="Z130" i="1"/>
  <c r="AA130" i="1"/>
  <c r="AB130" i="1"/>
  <c r="AC130" i="1"/>
  <c r="AD130" i="1"/>
  <c r="AE130" i="1"/>
  <c r="AF130" i="1"/>
  <c r="AG130" i="1"/>
  <c r="AH130" i="1"/>
  <c r="AI130" i="1"/>
  <c r="Y131" i="1"/>
  <c r="Z131" i="1"/>
  <c r="AA131" i="1"/>
  <c r="AB131" i="1"/>
  <c r="AC131" i="1"/>
  <c r="AD131" i="1"/>
  <c r="AE131" i="1"/>
  <c r="AF131" i="1"/>
  <c r="AG131" i="1"/>
  <c r="AH131" i="1"/>
  <c r="AI131" i="1"/>
  <c r="Y132" i="1"/>
  <c r="Z132" i="1"/>
  <c r="AA132" i="1"/>
  <c r="AB132" i="1"/>
  <c r="AC132" i="1"/>
  <c r="AD132" i="1"/>
  <c r="AE132" i="1"/>
  <c r="AF132" i="1"/>
  <c r="AG132" i="1"/>
  <c r="AH132" i="1"/>
  <c r="AI132" i="1"/>
  <c r="Y133" i="1"/>
  <c r="Z133" i="1"/>
  <c r="AA133" i="1"/>
  <c r="AB133" i="1"/>
  <c r="AC133" i="1"/>
  <c r="AD133" i="1"/>
  <c r="AE133" i="1"/>
  <c r="AF133" i="1"/>
  <c r="AG133" i="1"/>
  <c r="AH133" i="1"/>
  <c r="AI133" i="1"/>
  <c r="Y134" i="1"/>
  <c r="Z134" i="1"/>
  <c r="AA134" i="1"/>
  <c r="AB134" i="1"/>
  <c r="AC134" i="1"/>
  <c r="AD134" i="1"/>
  <c r="AE134" i="1"/>
  <c r="AF134" i="1"/>
  <c r="AG134" i="1"/>
  <c r="AH134" i="1"/>
  <c r="AI134" i="1"/>
  <c r="Y135" i="1"/>
  <c r="Z135" i="1"/>
  <c r="AA135" i="1"/>
  <c r="AB135" i="1"/>
  <c r="AC135" i="1"/>
  <c r="AD135" i="1"/>
  <c r="AE135" i="1"/>
  <c r="AF135" i="1"/>
  <c r="AG135" i="1"/>
  <c r="AH135" i="1"/>
  <c r="AI135" i="1"/>
  <c r="Y136" i="1"/>
  <c r="Z136" i="1"/>
  <c r="AA136" i="1"/>
  <c r="AB136" i="1"/>
  <c r="AC136" i="1"/>
  <c r="AD136" i="1"/>
  <c r="AE136" i="1"/>
  <c r="AF136" i="1"/>
  <c r="AG136" i="1"/>
  <c r="AH136" i="1"/>
  <c r="AI136" i="1"/>
  <c r="Y137" i="1"/>
  <c r="Z137" i="1"/>
  <c r="AA137" i="1"/>
  <c r="AB137" i="1"/>
  <c r="AC137" i="1"/>
  <c r="AD137" i="1"/>
  <c r="AE137" i="1"/>
  <c r="AF137" i="1"/>
  <c r="AG137" i="1"/>
  <c r="AH137" i="1"/>
  <c r="AI137" i="1"/>
  <c r="Y138" i="1"/>
  <c r="Z138" i="1"/>
  <c r="AA138" i="1"/>
  <c r="AB138" i="1"/>
  <c r="AC138" i="1"/>
  <c r="AD138" i="1"/>
  <c r="AE138" i="1"/>
  <c r="AF138" i="1"/>
  <c r="AG138" i="1"/>
  <c r="AH138" i="1"/>
  <c r="AI138" i="1"/>
  <c r="Y139" i="1"/>
  <c r="Z139" i="1"/>
  <c r="AA139" i="1"/>
  <c r="AB139" i="1"/>
  <c r="AC139" i="1"/>
  <c r="AD139" i="1"/>
  <c r="AE139" i="1"/>
  <c r="AF139" i="1"/>
  <c r="AG139" i="1"/>
  <c r="AH139" i="1"/>
  <c r="AI139" i="1"/>
  <c r="Y140" i="1"/>
  <c r="Z140" i="1"/>
  <c r="AA140" i="1"/>
  <c r="AB140" i="1"/>
  <c r="AC140" i="1"/>
  <c r="AD140" i="1"/>
  <c r="AE140" i="1"/>
  <c r="AF140" i="1"/>
  <c r="AG140" i="1"/>
  <c r="AH140" i="1"/>
  <c r="AI140" i="1"/>
  <c r="Y141" i="1"/>
  <c r="Z141" i="1"/>
  <c r="AA141" i="1"/>
  <c r="AB141" i="1"/>
  <c r="AC141" i="1"/>
  <c r="AD141" i="1"/>
  <c r="AE141" i="1"/>
  <c r="AF141" i="1"/>
  <c r="AG141" i="1"/>
  <c r="AH141" i="1"/>
  <c r="AI141" i="1"/>
  <c r="Y142" i="1"/>
  <c r="Z142" i="1"/>
  <c r="AA142" i="1"/>
  <c r="AB142" i="1"/>
  <c r="AC142" i="1"/>
  <c r="AD142" i="1"/>
  <c r="AE142" i="1"/>
  <c r="AF142" i="1"/>
  <c r="AG142" i="1"/>
  <c r="AH142" i="1"/>
  <c r="AI142" i="1"/>
  <c r="Y143" i="1"/>
  <c r="Z143" i="1"/>
  <c r="AA143" i="1"/>
  <c r="AB143" i="1"/>
  <c r="AC143" i="1"/>
  <c r="AD143" i="1"/>
  <c r="AE143" i="1"/>
  <c r="AF143" i="1"/>
  <c r="AG143" i="1"/>
  <c r="AH143" i="1"/>
  <c r="AI143" i="1"/>
  <c r="Y144" i="1"/>
  <c r="Z144" i="1"/>
  <c r="AA144" i="1"/>
  <c r="AB144" i="1"/>
  <c r="AC144" i="1"/>
  <c r="AD144" i="1"/>
  <c r="AE144" i="1"/>
  <c r="AF144" i="1"/>
  <c r="AG144" i="1"/>
  <c r="AH144" i="1"/>
  <c r="AI144" i="1"/>
  <c r="Y145" i="1"/>
  <c r="Z145" i="1"/>
  <c r="AA145" i="1"/>
  <c r="AB145" i="1"/>
  <c r="AC145" i="1"/>
  <c r="AD145" i="1"/>
  <c r="AE145" i="1"/>
  <c r="AF145" i="1"/>
  <c r="AG145" i="1"/>
  <c r="AH145" i="1"/>
  <c r="AI145" i="1"/>
  <c r="Y146" i="1"/>
  <c r="Z146" i="1"/>
  <c r="AA146" i="1"/>
  <c r="AB146" i="1"/>
  <c r="AC146" i="1"/>
  <c r="AD146" i="1"/>
  <c r="AE146" i="1"/>
  <c r="AF146" i="1"/>
  <c r="AG146" i="1"/>
  <c r="AH146" i="1"/>
  <c r="AI146" i="1"/>
  <c r="Y147" i="1"/>
  <c r="Z147" i="1"/>
  <c r="AA147" i="1"/>
  <c r="AB147" i="1"/>
  <c r="AC147" i="1"/>
  <c r="AD147" i="1"/>
  <c r="AE147" i="1"/>
  <c r="AF147" i="1"/>
  <c r="AG147" i="1"/>
  <c r="AH147" i="1"/>
  <c r="AI147" i="1"/>
  <c r="Y148" i="1"/>
  <c r="Z148" i="1"/>
  <c r="AA148" i="1"/>
  <c r="AB148" i="1"/>
  <c r="AC148" i="1"/>
  <c r="AD148" i="1"/>
  <c r="AE148" i="1"/>
  <c r="AF148" i="1"/>
  <c r="AG148" i="1"/>
  <c r="AH148" i="1"/>
  <c r="AI148" i="1"/>
  <c r="Y149" i="1"/>
  <c r="Z149" i="1"/>
  <c r="AA149" i="1"/>
  <c r="AB149" i="1"/>
  <c r="AC149" i="1"/>
  <c r="AD149" i="1"/>
  <c r="AE149" i="1"/>
  <c r="AF149" i="1"/>
  <c r="AG149" i="1"/>
  <c r="AH149" i="1"/>
  <c r="AI149" i="1"/>
  <c r="Y150" i="1"/>
  <c r="Z150" i="1"/>
  <c r="AA150" i="1"/>
  <c r="AB150" i="1"/>
  <c r="AC150" i="1"/>
  <c r="AD150" i="1"/>
  <c r="AE150" i="1"/>
  <c r="AF150" i="1"/>
  <c r="AG150" i="1"/>
  <c r="AH150" i="1"/>
  <c r="AI150" i="1"/>
  <c r="Y151" i="1"/>
  <c r="Z151" i="1"/>
  <c r="AA151" i="1"/>
  <c r="AB151" i="1"/>
  <c r="AC151" i="1"/>
  <c r="AD151" i="1"/>
  <c r="AE151" i="1"/>
  <c r="AF151" i="1"/>
  <c r="AG151" i="1"/>
  <c r="AH151" i="1"/>
  <c r="AI151" i="1"/>
  <c r="Y152" i="1"/>
  <c r="Z152" i="1"/>
  <c r="AA152" i="1"/>
  <c r="AB152" i="1"/>
  <c r="AC152" i="1"/>
  <c r="AD152" i="1"/>
  <c r="AE152" i="1"/>
  <c r="AF152" i="1"/>
  <c r="AG152" i="1"/>
  <c r="AH152" i="1"/>
  <c r="AI152" i="1"/>
  <c r="Y153" i="1"/>
  <c r="Z153" i="1"/>
  <c r="AA153" i="1"/>
  <c r="AB153" i="1"/>
  <c r="AC153" i="1"/>
  <c r="AD153" i="1"/>
  <c r="AE153" i="1"/>
  <c r="AF153" i="1"/>
  <c r="AG153" i="1"/>
  <c r="AH153" i="1"/>
  <c r="AI153" i="1"/>
  <c r="Y154" i="1"/>
  <c r="Z154" i="1"/>
  <c r="AA154" i="1"/>
  <c r="AB154" i="1"/>
  <c r="AC154" i="1"/>
  <c r="AD154" i="1"/>
  <c r="AE154" i="1"/>
  <c r="AF154" i="1"/>
  <c r="AG154" i="1"/>
  <c r="AH154" i="1"/>
  <c r="AI154" i="1"/>
  <c r="Y155" i="1"/>
  <c r="Z155" i="1"/>
  <c r="AA155" i="1"/>
  <c r="AB155" i="1"/>
  <c r="AC155" i="1"/>
  <c r="AD155" i="1"/>
  <c r="AE155" i="1"/>
  <c r="AF155" i="1"/>
  <c r="AG155" i="1"/>
  <c r="AH155" i="1"/>
  <c r="AI155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Z157" i="1"/>
  <c r="AA157" i="1"/>
  <c r="AB157" i="1"/>
  <c r="AC157" i="1"/>
  <c r="AD157" i="1"/>
  <c r="AE157" i="1"/>
  <c r="AF157" i="1"/>
  <c r="AG157" i="1"/>
  <c r="AH157" i="1"/>
  <c r="AI157" i="1"/>
  <c r="Y158" i="1"/>
  <c r="Z158" i="1"/>
  <c r="AA158" i="1"/>
  <c r="AB158" i="1"/>
  <c r="AC158" i="1"/>
  <c r="AD158" i="1"/>
  <c r="AE158" i="1"/>
  <c r="AF158" i="1"/>
  <c r="AG158" i="1"/>
  <c r="AH158" i="1"/>
  <c r="AI158" i="1"/>
  <c r="Y159" i="1"/>
  <c r="Z159" i="1"/>
  <c r="AA159" i="1"/>
  <c r="AB159" i="1"/>
  <c r="AC159" i="1"/>
  <c r="AD159" i="1"/>
  <c r="AE159" i="1"/>
  <c r="AF159" i="1"/>
  <c r="AG159" i="1"/>
  <c r="AH159" i="1"/>
  <c r="AI159" i="1"/>
  <c r="Y160" i="1"/>
  <c r="Z160" i="1"/>
  <c r="AA160" i="1"/>
  <c r="AB160" i="1"/>
  <c r="AC160" i="1"/>
  <c r="AD160" i="1"/>
  <c r="AE160" i="1"/>
  <c r="AF160" i="1"/>
  <c r="AG160" i="1"/>
  <c r="AH160" i="1"/>
  <c r="AI160" i="1"/>
  <c r="Y161" i="1"/>
  <c r="Z161" i="1"/>
  <c r="AA161" i="1"/>
  <c r="AB161" i="1"/>
  <c r="AC161" i="1"/>
  <c r="AD161" i="1"/>
  <c r="AE161" i="1"/>
  <c r="AF161" i="1"/>
  <c r="AG161" i="1"/>
  <c r="AH161" i="1"/>
  <c r="AI161" i="1"/>
  <c r="Y162" i="1"/>
  <c r="Z162" i="1"/>
  <c r="AA162" i="1"/>
  <c r="AB162" i="1"/>
  <c r="AC162" i="1"/>
  <c r="AD162" i="1"/>
  <c r="AE162" i="1"/>
  <c r="AF162" i="1"/>
  <c r="AG162" i="1"/>
  <c r="AH162" i="1"/>
  <c r="AI162" i="1"/>
  <c r="Y163" i="1"/>
  <c r="Z163" i="1"/>
  <c r="AA163" i="1"/>
  <c r="AB163" i="1"/>
  <c r="AC163" i="1"/>
  <c r="AD163" i="1"/>
  <c r="AE163" i="1"/>
  <c r="AF163" i="1"/>
  <c r="AG163" i="1"/>
  <c r="AH163" i="1"/>
  <c r="AI163" i="1"/>
  <c r="Y164" i="1"/>
  <c r="Z164" i="1"/>
  <c r="AA164" i="1"/>
  <c r="AB164" i="1"/>
  <c r="AC164" i="1"/>
  <c r="AD164" i="1"/>
  <c r="AE164" i="1"/>
  <c r="AF164" i="1"/>
  <c r="AG164" i="1"/>
  <c r="AH164" i="1"/>
  <c r="AI164" i="1"/>
  <c r="Y165" i="1"/>
  <c r="Z165" i="1"/>
  <c r="AA165" i="1"/>
  <c r="AB165" i="1"/>
  <c r="AC165" i="1"/>
  <c r="AD165" i="1"/>
  <c r="AE165" i="1"/>
  <c r="AF165" i="1"/>
  <c r="AG165" i="1"/>
  <c r="AH165" i="1"/>
  <c r="AI165" i="1"/>
  <c r="Y166" i="1"/>
  <c r="Z166" i="1"/>
  <c r="AA166" i="1"/>
  <c r="AB166" i="1"/>
  <c r="AC166" i="1"/>
  <c r="AD166" i="1"/>
  <c r="AE166" i="1"/>
  <c r="AF166" i="1"/>
  <c r="AG166" i="1"/>
  <c r="AH166" i="1"/>
  <c r="AI166" i="1"/>
  <c r="Y167" i="1"/>
  <c r="Z167" i="1"/>
  <c r="AA167" i="1"/>
  <c r="AB167" i="1"/>
  <c r="AC167" i="1"/>
  <c r="AD167" i="1"/>
  <c r="AE167" i="1"/>
  <c r="AF167" i="1"/>
  <c r="AG167" i="1"/>
  <c r="AH167" i="1"/>
  <c r="AI167" i="1"/>
  <c r="Y168" i="1"/>
  <c r="Z168" i="1"/>
  <c r="AA168" i="1"/>
  <c r="AB168" i="1"/>
  <c r="AC168" i="1"/>
  <c r="AD168" i="1"/>
  <c r="AE168" i="1"/>
  <c r="AF168" i="1"/>
  <c r="AG168" i="1"/>
  <c r="AH168" i="1"/>
  <c r="AI168" i="1"/>
  <c r="Y169" i="1"/>
  <c r="Z169" i="1"/>
  <c r="AA169" i="1"/>
  <c r="AB169" i="1"/>
  <c r="AC169" i="1"/>
  <c r="AD169" i="1"/>
  <c r="AE169" i="1"/>
  <c r="AF169" i="1"/>
  <c r="AG169" i="1"/>
  <c r="AH169" i="1"/>
  <c r="AI169" i="1"/>
  <c r="Y170" i="1"/>
  <c r="Z170" i="1"/>
  <c r="AA170" i="1"/>
  <c r="AB170" i="1"/>
  <c r="AC170" i="1"/>
  <c r="AD170" i="1"/>
  <c r="AE170" i="1"/>
  <c r="AF170" i="1"/>
  <c r="AG170" i="1"/>
  <c r="AH170" i="1"/>
  <c r="AI170" i="1"/>
  <c r="Y171" i="1"/>
  <c r="Z171" i="1"/>
  <c r="AA171" i="1"/>
  <c r="AB171" i="1"/>
  <c r="AC171" i="1"/>
  <c r="AD171" i="1"/>
  <c r="AE171" i="1"/>
  <c r="AF171" i="1"/>
  <c r="AG171" i="1"/>
  <c r="AH171" i="1"/>
  <c r="AI171" i="1"/>
  <c r="Y172" i="1"/>
  <c r="Z172" i="1"/>
  <c r="AA172" i="1"/>
  <c r="AB172" i="1"/>
  <c r="AC172" i="1"/>
  <c r="AD172" i="1"/>
  <c r="AE172" i="1"/>
  <c r="AF172" i="1"/>
  <c r="AG172" i="1"/>
  <c r="AH172" i="1"/>
  <c r="AI172" i="1"/>
  <c r="Y173" i="1"/>
  <c r="Z173" i="1"/>
  <c r="AA173" i="1"/>
  <c r="AB173" i="1"/>
  <c r="AC173" i="1"/>
  <c r="AD173" i="1"/>
  <c r="AE173" i="1"/>
  <c r="AF173" i="1"/>
  <c r="AG173" i="1"/>
  <c r="AH173" i="1"/>
  <c r="AI173" i="1"/>
  <c r="Y174" i="1"/>
  <c r="Z174" i="1"/>
  <c r="AA174" i="1"/>
  <c r="AB174" i="1"/>
  <c r="AC174" i="1"/>
  <c r="AD174" i="1"/>
  <c r="AE174" i="1"/>
  <c r="AF174" i="1"/>
  <c r="AG174" i="1"/>
  <c r="AH174" i="1"/>
  <c r="AI174" i="1"/>
  <c r="Y175" i="1"/>
  <c r="Z175" i="1"/>
  <c r="AA175" i="1"/>
  <c r="AB175" i="1"/>
  <c r="AC175" i="1"/>
  <c r="AD175" i="1"/>
  <c r="AE175" i="1"/>
  <c r="AF175" i="1"/>
  <c r="AG175" i="1"/>
  <c r="AH175" i="1"/>
  <c r="AI175" i="1"/>
  <c r="Y176" i="1"/>
  <c r="Z176" i="1"/>
  <c r="AA176" i="1"/>
  <c r="AB176" i="1"/>
  <c r="AC176" i="1"/>
  <c r="AD176" i="1"/>
  <c r="AE176" i="1"/>
  <c r="AF176" i="1"/>
  <c r="AG176" i="1"/>
  <c r="AH176" i="1"/>
  <c r="AI176" i="1"/>
  <c r="Y177" i="1"/>
  <c r="Z177" i="1"/>
  <c r="AA177" i="1"/>
  <c r="AB177" i="1"/>
  <c r="AC177" i="1"/>
  <c r="AD177" i="1"/>
  <c r="AE177" i="1"/>
  <c r="AF177" i="1"/>
  <c r="AG177" i="1"/>
  <c r="AH177" i="1"/>
  <c r="AI177" i="1"/>
  <c r="Y178" i="1"/>
  <c r="Z178" i="1"/>
  <c r="AA178" i="1"/>
  <c r="AB178" i="1"/>
  <c r="AC178" i="1"/>
  <c r="AD178" i="1"/>
  <c r="AE178" i="1"/>
  <c r="AF178" i="1"/>
  <c r="AG178" i="1"/>
  <c r="AH178" i="1"/>
  <c r="AI178" i="1"/>
  <c r="Y179" i="1"/>
  <c r="Z179" i="1"/>
  <c r="AA179" i="1"/>
  <c r="AB179" i="1"/>
  <c r="AC179" i="1"/>
  <c r="AD179" i="1"/>
  <c r="AE179" i="1"/>
  <c r="AF179" i="1"/>
  <c r="AG179" i="1"/>
  <c r="AH179" i="1"/>
  <c r="AI179" i="1"/>
  <c r="Y180" i="1"/>
  <c r="Z180" i="1"/>
  <c r="AA180" i="1"/>
  <c r="AB180" i="1"/>
  <c r="AC180" i="1"/>
  <c r="AD180" i="1"/>
  <c r="AE180" i="1"/>
  <c r="AF180" i="1"/>
  <c r="AG180" i="1"/>
  <c r="AH180" i="1"/>
  <c r="AI180" i="1"/>
  <c r="Y181" i="1"/>
  <c r="Z181" i="1"/>
  <c r="AA181" i="1"/>
  <c r="AB181" i="1"/>
  <c r="AC181" i="1"/>
  <c r="AD181" i="1"/>
  <c r="AE181" i="1"/>
  <c r="AF181" i="1"/>
  <c r="AG181" i="1"/>
  <c r="AH181" i="1"/>
  <c r="AI181" i="1"/>
  <c r="Y182" i="1"/>
  <c r="Z182" i="1"/>
  <c r="AA182" i="1"/>
  <c r="AB182" i="1"/>
  <c r="AC182" i="1"/>
  <c r="AD182" i="1"/>
  <c r="AE182" i="1"/>
  <c r="AF182" i="1"/>
  <c r="AG182" i="1"/>
  <c r="AH182" i="1"/>
  <c r="AI182" i="1"/>
  <c r="Y183" i="1"/>
  <c r="Z183" i="1"/>
  <c r="AA183" i="1"/>
  <c r="AB183" i="1"/>
  <c r="AC183" i="1"/>
  <c r="AD183" i="1"/>
  <c r="AE183" i="1"/>
  <c r="AF183" i="1"/>
  <c r="AG183" i="1"/>
  <c r="AH183" i="1"/>
  <c r="AI183" i="1"/>
  <c r="Y184" i="1"/>
  <c r="Z184" i="1"/>
  <c r="AA184" i="1"/>
  <c r="AB184" i="1"/>
  <c r="AC184" i="1"/>
  <c r="AD184" i="1"/>
  <c r="AE184" i="1"/>
  <c r="AF184" i="1"/>
  <c r="AG184" i="1"/>
  <c r="AH184" i="1"/>
  <c r="AI184" i="1"/>
  <c r="Y185" i="1"/>
  <c r="Z185" i="1"/>
  <c r="AA185" i="1"/>
  <c r="AB185" i="1"/>
  <c r="AC185" i="1"/>
  <c r="AD185" i="1"/>
  <c r="AE185" i="1"/>
  <c r="AF185" i="1"/>
  <c r="AG185" i="1"/>
  <c r="AH185" i="1"/>
  <c r="AI185" i="1"/>
  <c r="Y186" i="1"/>
  <c r="Z186" i="1"/>
  <c r="AA186" i="1"/>
  <c r="AB186" i="1"/>
  <c r="AC186" i="1"/>
  <c r="AD186" i="1"/>
  <c r="AE186" i="1"/>
  <c r="AF186" i="1"/>
  <c r="AG186" i="1"/>
  <c r="AH186" i="1"/>
  <c r="AI186" i="1"/>
  <c r="Y187" i="1"/>
  <c r="Z187" i="1"/>
  <c r="AA187" i="1"/>
  <c r="AB187" i="1"/>
  <c r="AC187" i="1"/>
  <c r="AD187" i="1"/>
  <c r="AE187" i="1"/>
  <c r="AF187" i="1"/>
  <c r="AG187" i="1"/>
  <c r="AH187" i="1"/>
  <c r="AI187" i="1"/>
  <c r="Y188" i="1"/>
  <c r="Z188" i="1"/>
  <c r="AA188" i="1"/>
  <c r="AB188" i="1"/>
  <c r="AC188" i="1"/>
  <c r="AD188" i="1"/>
  <c r="AE188" i="1"/>
  <c r="AF188" i="1"/>
  <c r="AG188" i="1"/>
  <c r="AH188" i="1"/>
  <c r="AI188" i="1"/>
  <c r="Y189" i="1"/>
  <c r="Z189" i="1"/>
  <c r="AA189" i="1"/>
  <c r="AB189" i="1"/>
  <c r="AC189" i="1"/>
  <c r="AD189" i="1"/>
  <c r="AE189" i="1"/>
  <c r="AF189" i="1"/>
  <c r="AG189" i="1"/>
  <c r="AH189" i="1"/>
  <c r="AI189" i="1"/>
  <c r="Y190" i="1"/>
  <c r="Z190" i="1"/>
  <c r="AA190" i="1"/>
  <c r="AB190" i="1"/>
  <c r="AC190" i="1"/>
  <c r="AD190" i="1"/>
  <c r="AE190" i="1"/>
  <c r="AF190" i="1"/>
  <c r="AG190" i="1"/>
  <c r="AH190" i="1"/>
  <c r="AI190" i="1"/>
  <c r="Y191" i="1"/>
  <c r="Z191" i="1"/>
  <c r="AA191" i="1"/>
  <c r="AB191" i="1"/>
  <c r="AC191" i="1"/>
  <c r="AD191" i="1"/>
  <c r="AE191" i="1"/>
  <c r="AF191" i="1"/>
  <c r="AG191" i="1"/>
  <c r="AH191" i="1"/>
  <c r="AI191" i="1"/>
  <c r="Y192" i="1"/>
  <c r="Z192" i="1"/>
  <c r="AA192" i="1"/>
  <c r="AB192" i="1"/>
  <c r="AC192" i="1"/>
  <c r="AD192" i="1"/>
  <c r="AE192" i="1"/>
  <c r="AF192" i="1"/>
  <c r="AG192" i="1"/>
  <c r="AH192" i="1"/>
  <c r="AI192" i="1"/>
  <c r="Y193" i="1"/>
  <c r="Z193" i="1"/>
  <c r="AA193" i="1"/>
  <c r="AB193" i="1"/>
  <c r="AC193" i="1"/>
  <c r="AD193" i="1"/>
  <c r="AE193" i="1"/>
  <c r="AF193" i="1"/>
  <c r="AG193" i="1"/>
  <c r="AH193" i="1"/>
  <c r="AI193" i="1"/>
  <c r="Y194" i="1"/>
  <c r="Z194" i="1"/>
  <c r="AA194" i="1"/>
  <c r="AB194" i="1"/>
  <c r="AC194" i="1"/>
  <c r="AD194" i="1"/>
  <c r="AE194" i="1"/>
  <c r="AF194" i="1"/>
  <c r="AG194" i="1"/>
  <c r="AH194" i="1"/>
  <c r="AI194" i="1"/>
  <c r="Y195" i="1"/>
  <c r="Z195" i="1"/>
  <c r="AA195" i="1"/>
  <c r="AB195" i="1"/>
  <c r="AC195" i="1"/>
  <c r="AD195" i="1"/>
  <c r="AE195" i="1"/>
  <c r="AF195" i="1"/>
  <c r="AG195" i="1"/>
  <c r="AH195" i="1"/>
  <c r="AI195" i="1"/>
  <c r="Y196" i="1"/>
  <c r="Z196" i="1"/>
  <c r="AA196" i="1"/>
  <c r="AB196" i="1"/>
  <c r="AC196" i="1"/>
  <c r="AD196" i="1"/>
  <c r="AE196" i="1"/>
  <c r="AF196" i="1"/>
  <c r="AG196" i="1"/>
  <c r="AH196" i="1"/>
  <c r="AI196" i="1"/>
  <c r="Y197" i="1"/>
  <c r="Z197" i="1"/>
  <c r="AA197" i="1"/>
  <c r="AB197" i="1"/>
  <c r="AC197" i="1"/>
  <c r="AD197" i="1"/>
  <c r="AE197" i="1"/>
  <c r="AF197" i="1"/>
  <c r="AG197" i="1"/>
  <c r="AH197" i="1"/>
  <c r="AI197" i="1"/>
  <c r="Y198" i="1"/>
  <c r="Z198" i="1"/>
  <c r="AA198" i="1"/>
  <c r="AB198" i="1"/>
  <c r="AC198" i="1"/>
  <c r="AD198" i="1"/>
  <c r="AE198" i="1"/>
  <c r="AF198" i="1"/>
  <c r="AG198" i="1"/>
  <c r="AH198" i="1"/>
  <c r="AI198" i="1"/>
  <c r="Y199" i="1"/>
  <c r="Z199" i="1"/>
  <c r="AA199" i="1"/>
  <c r="AB199" i="1"/>
  <c r="AC199" i="1"/>
  <c r="AD199" i="1"/>
  <c r="AE199" i="1"/>
  <c r="AF199" i="1"/>
  <c r="AG199" i="1"/>
  <c r="AH199" i="1"/>
  <c r="AI199" i="1"/>
  <c r="Y200" i="1"/>
  <c r="Z200" i="1"/>
  <c r="AA200" i="1"/>
  <c r="AB200" i="1"/>
  <c r="AC200" i="1"/>
  <c r="AD200" i="1"/>
  <c r="AE200" i="1"/>
  <c r="AF200" i="1"/>
  <c r="AG200" i="1"/>
  <c r="AH200" i="1"/>
  <c r="AI200" i="1"/>
  <c r="Y201" i="1"/>
  <c r="Z201" i="1"/>
  <c r="AA201" i="1"/>
  <c r="AB201" i="1"/>
  <c r="AC201" i="1"/>
  <c r="AD201" i="1"/>
  <c r="AE201" i="1"/>
  <c r="AF201" i="1"/>
  <c r="AG201" i="1"/>
  <c r="AH201" i="1"/>
  <c r="AI201" i="1"/>
  <c r="Y202" i="1"/>
  <c r="Z202" i="1"/>
  <c r="AA202" i="1"/>
  <c r="AB202" i="1"/>
  <c r="AC202" i="1"/>
  <c r="AD202" i="1"/>
  <c r="AE202" i="1"/>
  <c r="AF202" i="1"/>
  <c r="AG202" i="1"/>
  <c r="AH202" i="1"/>
  <c r="AI202" i="1"/>
  <c r="Y203" i="1"/>
  <c r="Z203" i="1"/>
  <c r="AA203" i="1"/>
  <c r="AB203" i="1"/>
  <c r="AC203" i="1"/>
  <c r="AD203" i="1"/>
  <c r="AE203" i="1"/>
  <c r="AF203" i="1"/>
  <c r="AG203" i="1"/>
  <c r="AH203" i="1"/>
  <c r="AI203" i="1"/>
  <c r="Y204" i="1"/>
  <c r="Z204" i="1"/>
  <c r="AA204" i="1"/>
  <c r="AB204" i="1"/>
  <c r="AC204" i="1"/>
  <c r="AD204" i="1"/>
  <c r="AE204" i="1"/>
  <c r="AF204" i="1"/>
  <c r="AG204" i="1"/>
  <c r="AH204" i="1"/>
  <c r="AI204" i="1"/>
  <c r="Y205" i="1"/>
  <c r="Z205" i="1"/>
  <c r="AA205" i="1"/>
  <c r="AB205" i="1"/>
  <c r="AC205" i="1"/>
  <c r="AD205" i="1"/>
  <c r="AE205" i="1"/>
  <c r="AF205" i="1"/>
  <c r="AG205" i="1"/>
  <c r="AH205" i="1"/>
  <c r="AI205" i="1"/>
  <c r="Y206" i="1"/>
  <c r="Z206" i="1"/>
  <c r="AA206" i="1"/>
  <c r="AB206" i="1"/>
  <c r="AC206" i="1"/>
  <c r="AD206" i="1"/>
  <c r="AE206" i="1"/>
  <c r="AF206" i="1"/>
  <c r="AG206" i="1"/>
  <c r="AH206" i="1"/>
  <c r="AI206" i="1"/>
  <c r="Y207" i="1"/>
  <c r="Z207" i="1"/>
  <c r="AA207" i="1"/>
  <c r="AB207" i="1"/>
  <c r="AC207" i="1"/>
  <c r="AD207" i="1"/>
  <c r="AE207" i="1"/>
  <c r="AF207" i="1"/>
  <c r="AG207" i="1"/>
  <c r="AH207" i="1"/>
  <c r="AI207" i="1"/>
  <c r="Y208" i="1"/>
  <c r="Z208" i="1"/>
  <c r="AA208" i="1"/>
  <c r="AB208" i="1"/>
  <c r="AC208" i="1"/>
  <c r="AD208" i="1"/>
  <c r="AE208" i="1"/>
  <c r="AF208" i="1"/>
  <c r="AG208" i="1"/>
  <c r="AH208" i="1"/>
  <c r="AI208" i="1"/>
  <c r="Y209" i="1"/>
  <c r="Z209" i="1"/>
  <c r="AA209" i="1"/>
  <c r="AB209" i="1"/>
  <c r="AC209" i="1"/>
  <c r="AD209" i="1"/>
  <c r="AE209" i="1"/>
  <c r="AF209" i="1"/>
  <c r="AG209" i="1"/>
  <c r="AH209" i="1"/>
  <c r="AI209" i="1"/>
  <c r="Y210" i="1"/>
  <c r="Z210" i="1"/>
  <c r="AA210" i="1"/>
  <c r="AB210" i="1"/>
  <c r="AC210" i="1"/>
  <c r="AD210" i="1"/>
  <c r="AE210" i="1"/>
  <c r="AF210" i="1"/>
  <c r="AG210" i="1"/>
  <c r="AH210" i="1"/>
  <c r="AI210" i="1"/>
  <c r="Y211" i="1"/>
  <c r="Z211" i="1"/>
  <c r="AA211" i="1"/>
  <c r="AB211" i="1"/>
  <c r="AC211" i="1"/>
  <c r="AD211" i="1"/>
  <c r="AE211" i="1"/>
  <c r="AF211" i="1"/>
  <c r="AG211" i="1"/>
  <c r="AH211" i="1"/>
  <c r="AI211" i="1"/>
  <c r="Y212" i="1"/>
  <c r="Z212" i="1"/>
  <c r="AA212" i="1"/>
  <c r="AB212" i="1"/>
  <c r="AC212" i="1"/>
  <c r="AD212" i="1"/>
  <c r="AE212" i="1"/>
  <c r="AF212" i="1"/>
  <c r="AG212" i="1"/>
  <c r="AH212" i="1"/>
  <c r="AI212" i="1"/>
  <c r="Y213" i="1"/>
  <c r="Z213" i="1"/>
  <c r="AA213" i="1"/>
  <c r="AB213" i="1"/>
  <c r="AC213" i="1"/>
  <c r="AD213" i="1"/>
  <c r="AE213" i="1"/>
  <c r="AF213" i="1"/>
  <c r="AG213" i="1"/>
  <c r="AH213" i="1"/>
  <c r="AI213" i="1"/>
  <c r="Y214" i="1"/>
  <c r="Z214" i="1"/>
  <c r="AA214" i="1"/>
  <c r="AB214" i="1"/>
  <c r="AC214" i="1"/>
  <c r="AD214" i="1"/>
  <c r="AE214" i="1"/>
  <c r="AF214" i="1"/>
  <c r="AG214" i="1"/>
  <c r="AH214" i="1"/>
  <c r="AI214" i="1"/>
  <c r="Y215" i="1"/>
  <c r="Z215" i="1"/>
  <c r="AA215" i="1"/>
  <c r="AB215" i="1"/>
  <c r="AC215" i="1"/>
  <c r="AD215" i="1"/>
  <c r="AE215" i="1"/>
  <c r="AF215" i="1"/>
  <c r="AG215" i="1"/>
  <c r="AH215" i="1"/>
  <c r="AI215" i="1"/>
  <c r="Y216" i="1"/>
  <c r="Z216" i="1"/>
  <c r="AA216" i="1"/>
  <c r="AB216" i="1"/>
  <c r="AC216" i="1"/>
  <c r="AD216" i="1"/>
  <c r="AE216" i="1"/>
  <c r="AF216" i="1"/>
  <c r="AG216" i="1"/>
  <c r="AH216" i="1"/>
  <c r="AI216" i="1"/>
  <c r="Y217" i="1"/>
  <c r="Z217" i="1"/>
  <c r="AA217" i="1"/>
  <c r="AB217" i="1"/>
  <c r="AC217" i="1"/>
  <c r="AD217" i="1"/>
  <c r="AE217" i="1"/>
  <c r="AF217" i="1"/>
  <c r="AG217" i="1"/>
  <c r="AH217" i="1"/>
  <c r="AI217" i="1"/>
  <c r="Y218" i="1"/>
  <c r="Z218" i="1"/>
  <c r="AA218" i="1"/>
  <c r="AB218" i="1"/>
  <c r="AC218" i="1"/>
  <c r="AD218" i="1"/>
  <c r="AE218" i="1"/>
  <c r="AF218" i="1"/>
  <c r="AG218" i="1"/>
  <c r="AH218" i="1"/>
  <c r="AI218" i="1"/>
  <c r="Y219" i="1"/>
  <c r="Z219" i="1"/>
  <c r="AA219" i="1"/>
  <c r="AB219" i="1"/>
  <c r="AC219" i="1"/>
  <c r="AD219" i="1"/>
  <c r="AE219" i="1"/>
  <c r="AF219" i="1"/>
  <c r="AG219" i="1"/>
  <c r="AH219" i="1"/>
  <c r="AI219" i="1"/>
  <c r="Y220" i="1"/>
  <c r="Z220" i="1"/>
  <c r="AA220" i="1"/>
  <c r="AB220" i="1"/>
  <c r="AC220" i="1"/>
  <c r="AD220" i="1"/>
  <c r="AE220" i="1"/>
  <c r="AF220" i="1"/>
  <c r="AG220" i="1"/>
  <c r="AH220" i="1"/>
  <c r="AI220" i="1"/>
  <c r="Y221" i="1"/>
  <c r="Z221" i="1"/>
  <c r="AA221" i="1"/>
  <c r="AB221" i="1"/>
  <c r="AC221" i="1"/>
  <c r="AD221" i="1"/>
  <c r="AE221" i="1"/>
  <c r="AF221" i="1"/>
  <c r="AG221" i="1"/>
  <c r="AH221" i="1"/>
  <c r="AI221" i="1"/>
  <c r="Y222" i="1"/>
  <c r="Z222" i="1"/>
  <c r="AA222" i="1"/>
  <c r="AB222" i="1"/>
  <c r="AC222" i="1"/>
  <c r="AD222" i="1"/>
  <c r="AE222" i="1"/>
  <c r="AF222" i="1"/>
  <c r="AG222" i="1"/>
  <c r="AH222" i="1"/>
  <c r="AI222" i="1"/>
  <c r="Y223" i="1"/>
  <c r="Z223" i="1"/>
  <c r="AA223" i="1"/>
  <c r="AB223" i="1"/>
  <c r="AC223" i="1"/>
  <c r="AD223" i="1"/>
  <c r="AE223" i="1"/>
  <c r="AF223" i="1"/>
  <c r="AG223" i="1"/>
  <c r="AH223" i="1"/>
  <c r="AI223" i="1"/>
  <c r="Y224" i="1"/>
  <c r="Z224" i="1"/>
  <c r="AA224" i="1"/>
  <c r="AB224" i="1"/>
  <c r="AC224" i="1"/>
  <c r="AD224" i="1"/>
  <c r="AE224" i="1"/>
  <c r="AF224" i="1"/>
  <c r="AG224" i="1"/>
  <c r="AH224" i="1"/>
  <c r="AI224" i="1"/>
  <c r="Y225" i="1"/>
  <c r="Z225" i="1"/>
  <c r="AA225" i="1"/>
  <c r="AB225" i="1"/>
  <c r="AC225" i="1"/>
  <c r="AD225" i="1"/>
  <c r="AE225" i="1"/>
  <c r="AF225" i="1"/>
  <c r="AG225" i="1"/>
  <c r="AH225" i="1"/>
  <c r="AI225" i="1"/>
  <c r="Y226" i="1"/>
  <c r="Z226" i="1"/>
  <c r="AA226" i="1"/>
  <c r="AB226" i="1"/>
  <c r="AC226" i="1"/>
  <c r="AD226" i="1"/>
  <c r="AE226" i="1"/>
  <c r="AF226" i="1"/>
  <c r="AG226" i="1"/>
  <c r="AH226" i="1"/>
  <c r="AI226" i="1"/>
  <c r="Y227" i="1"/>
  <c r="Z227" i="1"/>
  <c r="AA227" i="1"/>
  <c r="AB227" i="1"/>
  <c r="AC227" i="1"/>
  <c r="AD227" i="1"/>
  <c r="AE227" i="1"/>
  <c r="AF227" i="1"/>
  <c r="AG227" i="1"/>
  <c r="AH227" i="1"/>
  <c r="AI227" i="1"/>
  <c r="Y228" i="1"/>
  <c r="Z228" i="1"/>
  <c r="AA228" i="1"/>
  <c r="AB228" i="1"/>
  <c r="AC228" i="1"/>
  <c r="AD228" i="1"/>
  <c r="AE228" i="1"/>
  <c r="AF228" i="1"/>
  <c r="AG228" i="1"/>
  <c r="AH228" i="1"/>
  <c r="AI228" i="1"/>
  <c r="Y229" i="1"/>
  <c r="Z229" i="1"/>
  <c r="AA229" i="1"/>
  <c r="AB229" i="1"/>
  <c r="AC229" i="1"/>
  <c r="AD229" i="1"/>
  <c r="AE229" i="1"/>
  <c r="AF229" i="1"/>
  <c r="AG229" i="1"/>
  <c r="AH229" i="1"/>
  <c r="AI229" i="1"/>
  <c r="Y230" i="1"/>
  <c r="Z230" i="1"/>
  <c r="AA230" i="1"/>
  <c r="AB230" i="1"/>
  <c r="AC230" i="1"/>
  <c r="AD230" i="1"/>
  <c r="AE230" i="1"/>
  <c r="AF230" i="1"/>
  <c r="AG230" i="1"/>
  <c r="AH230" i="1"/>
  <c r="AI230" i="1"/>
  <c r="Y231" i="1"/>
  <c r="Z231" i="1"/>
  <c r="AA231" i="1"/>
  <c r="AB231" i="1"/>
  <c r="AC231" i="1"/>
  <c r="AD231" i="1"/>
  <c r="AE231" i="1"/>
  <c r="AF231" i="1"/>
  <c r="AG231" i="1"/>
  <c r="AH231" i="1"/>
  <c r="AI231" i="1"/>
  <c r="Y232" i="1"/>
  <c r="Z232" i="1"/>
  <c r="AA232" i="1"/>
  <c r="AB232" i="1"/>
  <c r="AC232" i="1"/>
  <c r="AD232" i="1"/>
  <c r="AE232" i="1"/>
  <c r="AF232" i="1"/>
  <c r="AG232" i="1"/>
  <c r="AH232" i="1"/>
  <c r="AI232" i="1"/>
  <c r="Y233" i="1"/>
  <c r="Z233" i="1"/>
  <c r="AA233" i="1"/>
  <c r="AB233" i="1"/>
  <c r="AC233" i="1"/>
  <c r="AD233" i="1"/>
  <c r="AE233" i="1"/>
  <c r="AF233" i="1"/>
  <c r="AG233" i="1"/>
  <c r="AH233" i="1"/>
  <c r="AI233" i="1"/>
  <c r="Y234" i="1"/>
  <c r="Z234" i="1"/>
  <c r="AA234" i="1"/>
  <c r="AB234" i="1"/>
  <c r="AC234" i="1"/>
  <c r="AD234" i="1"/>
  <c r="AE234" i="1"/>
  <c r="AF234" i="1"/>
  <c r="AG234" i="1"/>
  <c r="AH234" i="1"/>
  <c r="AI234" i="1"/>
  <c r="Y235" i="1"/>
  <c r="Z235" i="1"/>
  <c r="AA235" i="1"/>
  <c r="AB235" i="1"/>
  <c r="AC235" i="1"/>
  <c r="AD235" i="1"/>
  <c r="AE235" i="1"/>
  <c r="AF235" i="1"/>
  <c r="AG235" i="1"/>
  <c r="AH235" i="1"/>
  <c r="AI235" i="1"/>
  <c r="Y236" i="1"/>
  <c r="Z236" i="1"/>
  <c r="AA236" i="1"/>
  <c r="AB236" i="1"/>
  <c r="AC236" i="1"/>
  <c r="AD236" i="1"/>
  <c r="AE236" i="1"/>
  <c r="AF236" i="1"/>
  <c r="AG236" i="1"/>
  <c r="AH236" i="1"/>
  <c r="AI236" i="1"/>
  <c r="Y237" i="1"/>
  <c r="Z237" i="1"/>
  <c r="AA237" i="1"/>
  <c r="AB237" i="1"/>
  <c r="AC237" i="1"/>
  <c r="AD237" i="1"/>
  <c r="AE237" i="1"/>
  <c r="AF237" i="1"/>
  <c r="AG237" i="1"/>
  <c r="AH237" i="1"/>
  <c r="AI237" i="1"/>
  <c r="Y238" i="1"/>
  <c r="Z238" i="1"/>
  <c r="AA238" i="1"/>
  <c r="AB238" i="1"/>
  <c r="AC238" i="1"/>
  <c r="AD238" i="1"/>
  <c r="AE238" i="1"/>
  <c r="AF238" i="1"/>
  <c r="AG238" i="1"/>
  <c r="AH238" i="1"/>
  <c r="AI238" i="1"/>
  <c r="Y239" i="1"/>
  <c r="Z239" i="1"/>
  <c r="AA239" i="1"/>
  <c r="AB239" i="1"/>
  <c r="AC239" i="1"/>
  <c r="AD239" i="1"/>
  <c r="AE239" i="1"/>
  <c r="AF239" i="1"/>
  <c r="AG239" i="1"/>
  <c r="AH239" i="1"/>
  <c r="AI239" i="1"/>
  <c r="Y240" i="1"/>
  <c r="Z240" i="1"/>
  <c r="AA240" i="1"/>
  <c r="AB240" i="1"/>
  <c r="AC240" i="1"/>
  <c r="AD240" i="1"/>
  <c r="AE240" i="1"/>
  <c r="AF240" i="1"/>
  <c r="AG240" i="1"/>
  <c r="AH240" i="1"/>
  <c r="AI240" i="1"/>
  <c r="Y241" i="1"/>
  <c r="Z241" i="1"/>
  <c r="AA241" i="1"/>
  <c r="AB241" i="1"/>
  <c r="AC241" i="1"/>
  <c r="AD241" i="1"/>
  <c r="AE241" i="1"/>
  <c r="AF241" i="1"/>
  <c r="AG241" i="1"/>
  <c r="AH241" i="1"/>
  <c r="AI241" i="1"/>
  <c r="Y242" i="1"/>
  <c r="Z242" i="1"/>
  <c r="AA242" i="1"/>
  <c r="AB242" i="1"/>
  <c r="AC242" i="1"/>
  <c r="AD242" i="1"/>
  <c r="AE242" i="1"/>
  <c r="AF242" i="1"/>
  <c r="AG242" i="1"/>
  <c r="AH242" i="1"/>
  <c r="AI242" i="1"/>
  <c r="Y243" i="1"/>
  <c r="Z243" i="1"/>
  <c r="AA243" i="1"/>
  <c r="AB243" i="1"/>
  <c r="AC243" i="1"/>
  <c r="AD243" i="1"/>
  <c r="AE243" i="1"/>
  <c r="AF243" i="1"/>
  <c r="AG243" i="1"/>
  <c r="AH243" i="1"/>
  <c r="AI243" i="1"/>
  <c r="Y244" i="1"/>
  <c r="Z244" i="1"/>
  <c r="AA244" i="1"/>
  <c r="AB244" i="1"/>
  <c r="AC244" i="1"/>
  <c r="AD244" i="1"/>
  <c r="AE244" i="1"/>
  <c r="AF244" i="1"/>
  <c r="AG244" i="1"/>
  <c r="AH244" i="1"/>
  <c r="AI244" i="1"/>
  <c r="Y245" i="1"/>
  <c r="Z245" i="1"/>
  <c r="AA245" i="1"/>
  <c r="AB245" i="1"/>
  <c r="AC245" i="1"/>
  <c r="AD245" i="1"/>
  <c r="AE245" i="1"/>
  <c r="AF245" i="1"/>
  <c r="AG245" i="1"/>
  <c r="AH245" i="1"/>
  <c r="AI245" i="1"/>
  <c r="Y246" i="1"/>
  <c r="Z246" i="1"/>
  <c r="AA246" i="1"/>
  <c r="AB246" i="1"/>
  <c r="AC246" i="1"/>
  <c r="AD246" i="1"/>
  <c r="AE246" i="1"/>
  <c r="AF246" i="1"/>
  <c r="AG246" i="1"/>
  <c r="AH246" i="1"/>
  <c r="AI246" i="1"/>
  <c r="Y247" i="1"/>
  <c r="Z247" i="1"/>
  <c r="AA247" i="1"/>
  <c r="AB247" i="1"/>
  <c r="AC247" i="1"/>
  <c r="AD247" i="1"/>
  <c r="AE247" i="1"/>
  <c r="AF247" i="1"/>
  <c r="AG247" i="1"/>
  <c r="AH247" i="1"/>
  <c r="AI247" i="1"/>
  <c r="Y248" i="1"/>
  <c r="Z248" i="1"/>
  <c r="AA248" i="1"/>
  <c r="AB248" i="1"/>
  <c r="AC248" i="1"/>
  <c r="AD248" i="1"/>
  <c r="AE248" i="1"/>
  <c r="AF248" i="1"/>
  <c r="AG248" i="1"/>
  <c r="AH248" i="1"/>
  <c r="AI248" i="1"/>
  <c r="Y249" i="1"/>
  <c r="Z249" i="1"/>
  <c r="AA249" i="1"/>
  <c r="AB249" i="1"/>
  <c r="AC249" i="1"/>
  <c r="AD249" i="1"/>
  <c r="AE249" i="1"/>
  <c r="AF249" i="1"/>
  <c r="AG249" i="1"/>
  <c r="AH249" i="1"/>
  <c r="AI249" i="1"/>
  <c r="Y250" i="1"/>
  <c r="Z250" i="1"/>
  <c r="AA250" i="1"/>
  <c r="AB250" i="1"/>
  <c r="AC250" i="1"/>
  <c r="AD250" i="1"/>
  <c r="AE250" i="1"/>
  <c r="AF250" i="1"/>
  <c r="AG250" i="1"/>
  <c r="AH250" i="1"/>
  <c r="AI250" i="1"/>
  <c r="Y251" i="1"/>
  <c r="Z251" i="1"/>
  <c r="AA251" i="1"/>
  <c r="AB251" i="1"/>
  <c r="AC251" i="1"/>
  <c r="AD251" i="1"/>
  <c r="AE251" i="1"/>
  <c r="AF251" i="1"/>
  <c r="AG251" i="1"/>
  <c r="AH251" i="1"/>
  <c r="AI251" i="1"/>
  <c r="Y252" i="1"/>
  <c r="Z252" i="1"/>
  <c r="AA252" i="1"/>
  <c r="AB252" i="1"/>
  <c r="AC252" i="1"/>
  <c r="AD252" i="1"/>
  <c r="AE252" i="1"/>
  <c r="AF252" i="1"/>
  <c r="AG252" i="1"/>
  <c r="AH252" i="1"/>
  <c r="AI252" i="1"/>
  <c r="Y253" i="1"/>
  <c r="Z253" i="1"/>
  <c r="AA253" i="1"/>
  <c r="AB253" i="1"/>
  <c r="AC253" i="1"/>
  <c r="AD253" i="1"/>
  <c r="AE253" i="1"/>
  <c r="AF253" i="1"/>
  <c r="AG253" i="1"/>
  <c r="AH253" i="1"/>
  <c r="AI253" i="1"/>
  <c r="Y254" i="1"/>
  <c r="Z254" i="1"/>
  <c r="AA254" i="1"/>
  <c r="AB254" i="1"/>
  <c r="AC254" i="1"/>
  <c r="AD254" i="1"/>
  <c r="AE254" i="1"/>
  <c r="AF254" i="1"/>
  <c r="AG254" i="1"/>
  <c r="AH254" i="1"/>
  <c r="AI254" i="1"/>
  <c r="Y255" i="1"/>
  <c r="Z255" i="1"/>
  <c r="AA255" i="1"/>
  <c r="AB255" i="1"/>
  <c r="AC255" i="1"/>
  <c r="AD255" i="1"/>
  <c r="AE255" i="1"/>
  <c r="AF255" i="1"/>
  <c r="AG255" i="1"/>
  <c r="AH255" i="1"/>
  <c r="AI255" i="1"/>
  <c r="Y256" i="1"/>
  <c r="Z256" i="1"/>
  <c r="AA256" i="1"/>
  <c r="AB256" i="1"/>
  <c r="AC256" i="1"/>
  <c r="AD256" i="1"/>
  <c r="AE256" i="1"/>
  <c r="AF256" i="1"/>
  <c r="AG256" i="1"/>
  <c r="AH256" i="1"/>
  <c r="AI256" i="1"/>
  <c r="Y257" i="1"/>
  <c r="Z257" i="1"/>
  <c r="AA257" i="1"/>
  <c r="AB257" i="1"/>
  <c r="AC257" i="1"/>
  <c r="AD257" i="1"/>
  <c r="AE257" i="1"/>
  <c r="AF257" i="1"/>
  <c r="AG257" i="1"/>
  <c r="AH257" i="1"/>
  <c r="AI257" i="1"/>
  <c r="Y258" i="1"/>
  <c r="Z258" i="1"/>
  <c r="AA258" i="1"/>
  <c r="AB258" i="1"/>
  <c r="AC258" i="1"/>
  <c r="AD258" i="1"/>
  <c r="AE258" i="1"/>
  <c r="AF258" i="1"/>
  <c r="AG258" i="1"/>
  <c r="AH258" i="1"/>
  <c r="AI258" i="1"/>
  <c r="Y259" i="1"/>
  <c r="Z259" i="1"/>
  <c r="AA259" i="1"/>
  <c r="AB259" i="1"/>
  <c r="AC259" i="1"/>
  <c r="AD259" i="1"/>
  <c r="AE259" i="1"/>
  <c r="AF259" i="1"/>
  <c r="AG259" i="1"/>
  <c r="AH259" i="1"/>
  <c r="AI259" i="1"/>
  <c r="Y260" i="1"/>
  <c r="Z260" i="1"/>
  <c r="AA260" i="1"/>
  <c r="AB260" i="1"/>
  <c r="AC260" i="1"/>
  <c r="AD260" i="1"/>
  <c r="AE260" i="1"/>
  <c r="AF260" i="1"/>
  <c r="AG260" i="1"/>
  <c r="AH260" i="1"/>
  <c r="AI260" i="1"/>
  <c r="Y261" i="1"/>
  <c r="Z261" i="1"/>
  <c r="AA261" i="1"/>
  <c r="AB261" i="1"/>
  <c r="AC261" i="1"/>
  <c r="AD261" i="1"/>
  <c r="AE261" i="1"/>
  <c r="AF261" i="1"/>
  <c r="AG261" i="1"/>
  <c r="AH261" i="1"/>
  <c r="AI261" i="1"/>
  <c r="Y262" i="1"/>
  <c r="Z262" i="1"/>
  <c r="AA262" i="1"/>
  <c r="AB262" i="1"/>
  <c r="AC262" i="1"/>
  <c r="AD262" i="1"/>
  <c r="AE262" i="1"/>
  <c r="AF262" i="1"/>
  <c r="AG262" i="1"/>
  <c r="AH262" i="1"/>
  <c r="AI262" i="1"/>
  <c r="Y263" i="1"/>
  <c r="Z263" i="1"/>
  <c r="AA263" i="1"/>
  <c r="AB263" i="1"/>
  <c r="AC263" i="1"/>
  <c r="AD263" i="1"/>
  <c r="AE263" i="1"/>
  <c r="AF263" i="1"/>
  <c r="AG263" i="1"/>
  <c r="AH263" i="1"/>
  <c r="AI263" i="1"/>
  <c r="Y264" i="1"/>
  <c r="Z264" i="1"/>
  <c r="AA264" i="1"/>
  <c r="AB264" i="1"/>
  <c r="AC264" i="1"/>
  <c r="AD264" i="1"/>
  <c r="AE264" i="1"/>
  <c r="AF264" i="1"/>
  <c r="AG264" i="1"/>
  <c r="AH264" i="1"/>
  <c r="AI264" i="1"/>
  <c r="Y265" i="1"/>
  <c r="Z265" i="1"/>
  <c r="AA265" i="1"/>
  <c r="AB265" i="1"/>
  <c r="AC265" i="1"/>
  <c r="AD265" i="1"/>
  <c r="AE265" i="1"/>
  <c r="AF265" i="1"/>
  <c r="AG265" i="1"/>
  <c r="AH265" i="1"/>
  <c r="AI265" i="1"/>
  <c r="Y266" i="1"/>
  <c r="Z266" i="1"/>
  <c r="AA266" i="1"/>
  <c r="AB266" i="1"/>
  <c r="AC266" i="1"/>
  <c r="AD266" i="1"/>
  <c r="AE266" i="1"/>
  <c r="AF266" i="1"/>
  <c r="AG266" i="1"/>
  <c r="AH266" i="1"/>
  <c r="AI266" i="1"/>
  <c r="Y267" i="1"/>
  <c r="Z267" i="1"/>
  <c r="AA267" i="1"/>
  <c r="AB267" i="1"/>
  <c r="AC267" i="1"/>
  <c r="AD267" i="1"/>
  <c r="AE267" i="1"/>
  <c r="AF267" i="1"/>
  <c r="AG267" i="1"/>
  <c r="AH267" i="1"/>
  <c r="AI267" i="1"/>
  <c r="Y268" i="1"/>
  <c r="Z268" i="1"/>
  <c r="AA268" i="1"/>
  <c r="AB268" i="1"/>
  <c r="AC268" i="1"/>
  <c r="AD268" i="1"/>
  <c r="AE268" i="1"/>
  <c r="AF268" i="1"/>
  <c r="AG268" i="1"/>
  <c r="AH268" i="1"/>
  <c r="AI268" i="1"/>
  <c r="Y269" i="1"/>
  <c r="Z269" i="1"/>
  <c r="AA269" i="1"/>
  <c r="AB269" i="1"/>
  <c r="AC269" i="1"/>
  <c r="AD269" i="1"/>
  <c r="AE269" i="1"/>
  <c r="AF269" i="1"/>
  <c r="AG269" i="1"/>
  <c r="AH269" i="1"/>
  <c r="AI269" i="1"/>
  <c r="Y270" i="1"/>
  <c r="Z270" i="1"/>
  <c r="AA270" i="1"/>
  <c r="AB270" i="1"/>
  <c r="AC270" i="1"/>
  <c r="AD270" i="1"/>
  <c r="AE270" i="1"/>
  <c r="AF270" i="1"/>
  <c r="AG270" i="1"/>
  <c r="AH270" i="1"/>
  <c r="AI270" i="1"/>
  <c r="Y271" i="1"/>
  <c r="Z271" i="1"/>
  <c r="AA271" i="1"/>
  <c r="AB271" i="1"/>
  <c r="AC271" i="1"/>
  <c r="AD271" i="1"/>
  <c r="AE271" i="1"/>
  <c r="AF271" i="1"/>
  <c r="AG271" i="1"/>
  <c r="AH271" i="1"/>
  <c r="AI271" i="1"/>
  <c r="Y272" i="1"/>
  <c r="Z272" i="1"/>
  <c r="AA272" i="1"/>
  <c r="AB272" i="1"/>
  <c r="AC272" i="1"/>
  <c r="AD272" i="1"/>
  <c r="AE272" i="1"/>
  <c r="AF272" i="1"/>
  <c r="AG272" i="1"/>
  <c r="AH272" i="1"/>
  <c r="AI272" i="1"/>
  <c r="Y273" i="1"/>
  <c r="Z273" i="1"/>
  <c r="AA273" i="1"/>
  <c r="AB273" i="1"/>
  <c r="AC273" i="1"/>
  <c r="AD273" i="1"/>
  <c r="AE273" i="1"/>
  <c r="AF273" i="1"/>
  <c r="AG273" i="1"/>
  <c r="AH273" i="1"/>
  <c r="AI273" i="1"/>
  <c r="Y274" i="1"/>
  <c r="Z274" i="1"/>
  <c r="AA274" i="1"/>
  <c r="AB274" i="1"/>
  <c r="AC274" i="1"/>
  <c r="AD274" i="1"/>
  <c r="AE274" i="1"/>
  <c r="AF274" i="1"/>
  <c r="AG274" i="1"/>
  <c r="AH274" i="1"/>
  <c r="AI274" i="1"/>
  <c r="Y275" i="1"/>
  <c r="Z275" i="1"/>
  <c r="AA275" i="1"/>
  <c r="AB275" i="1"/>
  <c r="AC275" i="1"/>
  <c r="AD275" i="1"/>
  <c r="AE275" i="1"/>
  <c r="AF275" i="1"/>
  <c r="AG275" i="1"/>
  <c r="AH275" i="1"/>
  <c r="AI275" i="1"/>
  <c r="Y276" i="1"/>
  <c r="Z276" i="1"/>
  <c r="AA276" i="1"/>
  <c r="AB276" i="1"/>
  <c r="AC276" i="1"/>
  <c r="AD276" i="1"/>
  <c r="AE276" i="1"/>
  <c r="AF276" i="1"/>
  <c r="AG276" i="1"/>
  <c r="AH276" i="1"/>
  <c r="AI276" i="1"/>
  <c r="Y277" i="1"/>
  <c r="Z277" i="1"/>
  <c r="AA277" i="1"/>
  <c r="AB277" i="1"/>
  <c r="AC277" i="1"/>
  <c r="AD277" i="1"/>
  <c r="AE277" i="1"/>
  <c r="AF277" i="1"/>
  <c r="AG277" i="1"/>
  <c r="AH277" i="1"/>
  <c r="AI277" i="1"/>
  <c r="Y278" i="1"/>
  <c r="Z278" i="1"/>
  <c r="AA278" i="1"/>
  <c r="AB278" i="1"/>
  <c r="AC278" i="1"/>
  <c r="AD278" i="1"/>
  <c r="AE278" i="1"/>
  <c r="AF278" i="1"/>
  <c r="AG278" i="1"/>
  <c r="AH278" i="1"/>
  <c r="AI278" i="1"/>
  <c r="Y279" i="1"/>
  <c r="Z279" i="1"/>
  <c r="AA279" i="1"/>
  <c r="AB279" i="1"/>
  <c r="AC279" i="1"/>
  <c r="AD279" i="1"/>
  <c r="AE279" i="1"/>
  <c r="AF279" i="1"/>
  <c r="AG279" i="1"/>
  <c r="AH279" i="1"/>
  <c r="AI279" i="1"/>
  <c r="Y280" i="1"/>
  <c r="Z280" i="1"/>
  <c r="AA280" i="1"/>
  <c r="AB280" i="1"/>
  <c r="AC280" i="1"/>
  <c r="AD280" i="1"/>
  <c r="AE280" i="1"/>
  <c r="AF280" i="1"/>
  <c r="AG280" i="1"/>
  <c r="AH280" i="1"/>
  <c r="AI280" i="1"/>
  <c r="Y281" i="1"/>
  <c r="Z281" i="1"/>
  <c r="AA281" i="1"/>
  <c r="AB281" i="1"/>
  <c r="AC281" i="1"/>
  <c r="AD281" i="1"/>
  <c r="AE281" i="1"/>
  <c r="AF281" i="1"/>
  <c r="AG281" i="1"/>
  <c r="AH281" i="1"/>
  <c r="AI281" i="1"/>
  <c r="Y282" i="1"/>
  <c r="Z282" i="1"/>
  <c r="AA282" i="1"/>
  <c r="AB282" i="1"/>
  <c r="AC282" i="1"/>
  <c r="AD282" i="1"/>
  <c r="AE282" i="1"/>
  <c r="AF282" i="1"/>
  <c r="AG282" i="1"/>
  <c r="AH282" i="1"/>
  <c r="AI282" i="1"/>
  <c r="Y283" i="1"/>
  <c r="Z283" i="1"/>
  <c r="AA283" i="1"/>
  <c r="AB283" i="1"/>
  <c r="AC283" i="1"/>
  <c r="AD283" i="1"/>
  <c r="AE283" i="1"/>
  <c r="AF283" i="1"/>
  <c r="AG283" i="1"/>
  <c r="AH283" i="1"/>
  <c r="AI283" i="1"/>
  <c r="Y284" i="1"/>
  <c r="Z284" i="1"/>
  <c r="AA284" i="1"/>
  <c r="AB284" i="1"/>
  <c r="AC284" i="1"/>
  <c r="AD284" i="1"/>
  <c r="AE284" i="1"/>
  <c r="AF284" i="1"/>
  <c r="AG284" i="1"/>
  <c r="AH284" i="1"/>
  <c r="AI284" i="1"/>
  <c r="Y285" i="1"/>
  <c r="Z285" i="1"/>
  <c r="AA285" i="1"/>
  <c r="AB285" i="1"/>
  <c r="AC285" i="1"/>
  <c r="AD285" i="1"/>
  <c r="AE285" i="1"/>
  <c r="AF285" i="1"/>
  <c r="AG285" i="1"/>
  <c r="AH285" i="1"/>
  <c r="AI285" i="1"/>
  <c r="Y286" i="1"/>
  <c r="Z286" i="1"/>
  <c r="AA286" i="1"/>
  <c r="AB286" i="1"/>
  <c r="AC286" i="1"/>
  <c r="AD286" i="1"/>
  <c r="AE286" i="1"/>
  <c r="AF286" i="1"/>
  <c r="AG286" i="1"/>
  <c r="AH286" i="1"/>
  <c r="AI286" i="1"/>
  <c r="Y287" i="1"/>
  <c r="Z287" i="1"/>
  <c r="AA287" i="1"/>
  <c r="AB287" i="1"/>
  <c r="AC287" i="1"/>
  <c r="AD287" i="1"/>
  <c r="AE287" i="1"/>
  <c r="AF287" i="1"/>
  <c r="AG287" i="1"/>
  <c r="AH287" i="1"/>
  <c r="AI287" i="1"/>
  <c r="Y288" i="1"/>
  <c r="Z288" i="1"/>
  <c r="AA288" i="1"/>
  <c r="AB288" i="1"/>
  <c r="AC288" i="1"/>
  <c r="AD288" i="1"/>
  <c r="AE288" i="1"/>
  <c r="AF288" i="1"/>
  <c r="AG288" i="1"/>
  <c r="AH288" i="1"/>
  <c r="AI288" i="1"/>
  <c r="Y289" i="1"/>
  <c r="Z289" i="1"/>
  <c r="AA289" i="1"/>
  <c r="AB289" i="1"/>
  <c r="AC289" i="1"/>
  <c r="AD289" i="1"/>
  <c r="AE289" i="1"/>
  <c r="AF289" i="1"/>
  <c r="AG289" i="1"/>
  <c r="AH289" i="1"/>
  <c r="AI289" i="1"/>
  <c r="Y290" i="1"/>
  <c r="Z290" i="1"/>
  <c r="AA290" i="1"/>
  <c r="AB290" i="1"/>
  <c r="AC290" i="1"/>
  <c r="AD290" i="1"/>
  <c r="AE290" i="1"/>
  <c r="AF290" i="1"/>
  <c r="AG290" i="1"/>
  <c r="AH290" i="1"/>
  <c r="AI290" i="1"/>
  <c r="Y291" i="1"/>
  <c r="Z291" i="1"/>
  <c r="AA291" i="1"/>
  <c r="AB291" i="1"/>
  <c r="AC291" i="1"/>
  <c r="AD291" i="1"/>
  <c r="AE291" i="1"/>
  <c r="AF291" i="1"/>
  <c r="AG291" i="1"/>
  <c r="AH291" i="1"/>
  <c r="AI291" i="1"/>
  <c r="Y292" i="1"/>
  <c r="Z292" i="1"/>
  <c r="AA292" i="1"/>
  <c r="AB292" i="1"/>
  <c r="AC292" i="1"/>
  <c r="AD292" i="1"/>
  <c r="AE292" i="1"/>
  <c r="AF292" i="1"/>
  <c r="AG292" i="1"/>
  <c r="AH292" i="1"/>
  <c r="AI292" i="1"/>
  <c r="Y293" i="1"/>
  <c r="Z293" i="1"/>
  <c r="AA293" i="1"/>
  <c r="AB293" i="1"/>
  <c r="AC293" i="1"/>
  <c r="AD293" i="1"/>
  <c r="AE293" i="1"/>
  <c r="AF293" i="1"/>
  <c r="AG293" i="1"/>
  <c r="AH293" i="1"/>
  <c r="AI293" i="1"/>
  <c r="Y294" i="1"/>
  <c r="Z294" i="1"/>
  <c r="AA294" i="1"/>
  <c r="AB294" i="1"/>
  <c r="AC294" i="1"/>
  <c r="AD294" i="1"/>
  <c r="AE294" i="1"/>
  <c r="AF294" i="1"/>
  <c r="AG294" i="1"/>
  <c r="AH294" i="1"/>
  <c r="AI294" i="1"/>
  <c r="Y295" i="1"/>
  <c r="Z295" i="1"/>
  <c r="AA295" i="1"/>
  <c r="AB295" i="1"/>
  <c r="AC295" i="1"/>
  <c r="AD295" i="1"/>
  <c r="AE295" i="1"/>
  <c r="AF295" i="1"/>
  <c r="AG295" i="1"/>
  <c r="AH295" i="1"/>
  <c r="AI295" i="1"/>
  <c r="Y296" i="1"/>
  <c r="Z296" i="1"/>
  <c r="AA296" i="1"/>
  <c r="AB296" i="1"/>
  <c r="AC296" i="1"/>
  <c r="AD296" i="1"/>
  <c r="AE296" i="1"/>
  <c r="AF296" i="1"/>
  <c r="AG296" i="1"/>
  <c r="AH296" i="1"/>
  <c r="AI296" i="1"/>
  <c r="Y297" i="1"/>
  <c r="Z297" i="1"/>
  <c r="AA297" i="1"/>
  <c r="AB297" i="1"/>
  <c r="AC297" i="1"/>
  <c r="AD297" i="1"/>
  <c r="AE297" i="1"/>
  <c r="AF297" i="1"/>
  <c r="AG297" i="1"/>
  <c r="AH297" i="1"/>
  <c r="AI297" i="1"/>
  <c r="Y298" i="1"/>
  <c r="Z298" i="1"/>
  <c r="AA298" i="1"/>
  <c r="AB298" i="1"/>
  <c r="AC298" i="1"/>
  <c r="AD298" i="1"/>
  <c r="AE298" i="1"/>
  <c r="AF298" i="1"/>
  <c r="AG298" i="1"/>
  <c r="AH298" i="1"/>
  <c r="AI298" i="1"/>
  <c r="Y299" i="1"/>
  <c r="Z299" i="1"/>
  <c r="AA299" i="1"/>
  <c r="AB299" i="1"/>
  <c r="AC299" i="1"/>
  <c r="AD299" i="1"/>
  <c r="AE299" i="1"/>
  <c r="AF299" i="1"/>
  <c r="AG299" i="1"/>
  <c r="AH299" i="1"/>
  <c r="AI299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X2" i="1"/>
  <c r="W2" i="1"/>
  <c r="B55" i="5" l="1"/>
  <c r="B56" i="5" s="1"/>
  <c r="X4" i="5" a="1"/>
  <c r="X4" i="5" s="1"/>
  <c r="Y17" i="5" l="1"/>
  <c r="Y19" i="5"/>
  <c r="Y8" i="5"/>
  <c r="Y21" i="5"/>
  <c r="Y11" i="5"/>
  <c r="Y5" i="5"/>
  <c r="Y14" i="5"/>
  <c r="Y12" i="5"/>
  <c r="Y6" i="5"/>
  <c r="Y20" i="5"/>
  <c r="Y15" i="5"/>
  <c r="Y10" i="5"/>
  <c r="Y16" i="5"/>
  <c r="Y13" i="5"/>
  <c r="Y9" i="5"/>
  <c r="Y18" i="5"/>
  <c r="A24" i="5" a="1"/>
  <c r="A24" i="5" s="1"/>
  <c r="Y7" i="5"/>
  <c r="Y4" i="5" l="1"/>
  <c r="D24" i="5" s="1" a="1"/>
  <c r="D24" i="5" s="1"/>
  <c r="B36" i="5" l="1"/>
  <c r="B37" i="5"/>
  <c r="B35" i="5"/>
  <c r="B31" i="5"/>
  <c r="B28" i="5"/>
  <c r="B30" i="5"/>
  <c r="B34" i="5"/>
  <c r="B25" i="5"/>
  <c r="B38" i="5"/>
  <c r="B33" i="5"/>
  <c r="B32" i="5"/>
  <c r="E39" i="5"/>
  <c r="E34" i="5"/>
  <c r="E35" i="5"/>
  <c r="E28" i="5"/>
  <c r="E38" i="5"/>
  <c r="B29" i="5" l="1"/>
  <c r="B39" i="5"/>
  <c r="B26" i="5"/>
  <c r="B41" i="5"/>
  <c r="B40" i="5"/>
  <c r="B27" i="5"/>
  <c r="E33" i="5"/>
  <c r="E25" i="5"/>
  <c r="E40" i="5"/>
  <c r="E29" i="5"/>
  <c r="E36" i="5"/>
  <c r="E32" i="5"/>
  <c r="E27" i="5"/>
  <c r="E24" i="5"/>
  <c r="E30" i="5"/>
  <c r="E26" i="5"/>
  <c r="E37" i="5"/>
  <c r="E41" i="5"/>
  <c r="E31" i="5"/>
  <c r="B24" i="5"/>
  <c r="B45" i="5" l="1" a="1"/>
  <c r="B45" i="5" s="1"/>
  <c r="B46" i="5" s="1"/>
  <c r="C45" i="5" a="1"/>
  <c r="C45" i="5" s="1"/>
  <c r="C61" i="5" l="1"/>
  <c r="C62" i="5"/>
  <c r="C6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B61" i="5"/>
  <c r="B62" i="5"/>
  <c r="B6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W121" i="5"/>
  <c r="X121" i="5"/>
  <c r="Y121" i="5"/>
  <c r="Z121" i="5"/>
  <c r="AA121" i="5"/>
  <c r="AB121" i="5"/>
  <c r="AC121" i="5"/>
  <c r="AD121" i="5"/>
  <c r="AE121" i="5"/>
  <c r="AF121" i="5"/>
  <c r="AG121" i="5"/>
  <c r="AH121" i="5"/>
  <c r="AI121" i="5"/>
  <c r="AJ121" i="5"/>
  <c r="AK121" i="5"/>
  <c r="AL121" i="5"/>
  <c r="AM121" i="5"/>
  <c r="V121" i="5"/>
  <c r="W120" i="5"/>
  <c r="X120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AL120" i="5"/>
  <c r="AM120" i="5"/>
  <c r="V120" i="5"/>
  <c r="W119" i="5"/>
  <c r="X119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AL119" i="5"/>
  <c r="AM119" i="5"/>
  <c r="V119" i="5"/>
  <c r="W118" i="5"/>
  <c r="X118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AL118" i="5"/>
  <c r="AM118" i="5"/>
  <c r="V118" i="5"/>
  <c r="W117" i="5"/>
  <c r="X117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V117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V116" i="5"/>
  <c r="W115" i="5"/>
  <c r="X115" i="5"/>
  <c r="Y115" i="5"/>
  <c r="Z115" i="5"/>
  <c r="AA115" i="5"/>
  <c r="AB115" i="5"/>
  <c r="AC115" i="5"/>
  <c r="AD115" i="5"/>
  <c r="AE115" i="5"/>
  <c r="AF115" i="5"/>
  <c r="AG115" i="5"/>
  <c r="AH115" i="5"/>
  <c r="AI115" i="5"/>
  <c r="AJ115" i="5"/>
  <c r="AK115" i="5"/>
  <c r="AL115" i="5"/>
  <c r="AM115" i="5"/>
  <c r="V115" i="5"/>
  <c r="W114" i="5"/>
  <c r="X114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V114" i="5"/>
  <c r="W113" i="5"/>
  <c r="X113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AL113" i="5"/>
  <c r="AM113" i="5"/>
  <c r="V113" i="5"/>
  <c r="W112" i="5"/>
  <c r="X112" i="5"/>
  <c r="Y112" i="5"/>
  <c r="Z112" i="5"/>
  <c r="AA112" i="5"/>
  <c r="AB112" i="5"/>
  <c r="AC112" i="5"/>
  <c r="AD112" i="5"/>
  <c r="AE112" i="5"/>
  <c r="AF112" i="5"/>
  <c r="AG112" i="5"/>
  <c r="AH112" i="5"/>
  <c r="AI112" i="5"/>
  <c r="AJ112" i="5"/>
  <c r="AK112" i="5"/>
  <c r="AL112" i="5"/>
  <c r="AM112" i="5"/>
  <c r="V112" i="5"/>
  <c r="W111" i="5"/>
  <c r="X111" i="5"/>
  <c r="Y111" i="5"/>
  <c r="Z111" i="5"/>
  <c r="AA111" i="5"/>
  <c r="AB111" i="5"/>
  <c r="AC111" i="5"/>
  <c r="AD111" i="5"/>
  <c r="AE111" i="5"/>
  <c r="AF111" i="5"/>
  <c r="AG111" i="5"/>
  <c r="AH111" i="5"/>
  <c r="AI111" i="5"/>
  <c r="AJ111" i="5"/>
  <c r="AK111" i="5"/>
  <c r="AL111" i="5"/>
  <c r="AM111" i="5"/>
  <c r="V111" i="5"/>
  <c r="W110" i="5"/>
  <c r="X110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AL110" i="5"/>
  <c r="AM110" i="5"/>
  <c r="V110" i="5"/>
  <c r="W109" i="5"/>
  <c r="X109" i="5"/>
  <c r="Y109" i="5"/>
  <c r="Z109" i="5"/>
  <c r="AA109" i="5"/>
  <c r="AB109" i="5"/>
  <c r="AC109" i="5"/>
  <c r="AD109" i="5"/>
  <c r="AE109" i="5"/>
  <c r="AF109" i="5"/>
  <c r="AG109" i="5"/>
  <c r="AH109" i="5"/>
  <c r="AI109" i="5"/>
  <c r="AJ109" i="5"/>
  <c r="AK109" i="5"/>
  <c r="AL109" i="5"/>
  <c r="AM109" i="5"/>
  <c r="V109" i="5"/>
  <c r="W108" i="5"/>
  <c r="X108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AL108" i="5"/>
  <c r="AM108" i="5"/>
  <c r="V108" i="5"/>
  <c r="W107" i="5"/>
  <c r="X107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AL107" i="5"/>
  <c r="AM107" i="5"/>
  <c r="V107" i="5"/>
  <c r="W106" i="5"/>
  <c r="X106" i="5"/>
  <c r="Y106" i="5"/>
  <c r="Z106" i="5"/>
  <c r="AA106" i="5"/>
  <c r="AB106" i="5"/>
  <c r="AC106" i="5"/>
  <c r="AD106" i="5"/>
  <c r="AE106" i="5"/>
  <c r="AF106" i="5"/>
  <c r="AG106" i="5"/>
  <c r="AH106" i="5"/>
  <c r="AI106" i="5"/>
  <c r="AJ106" i="5"/>
  <c r="AK106" i="5"/>
  <c r="AL106" i="5"/>
  <c r="AM106" i="5"/>
  <c r="V106" i="5"/>
  <c r="W105" i="5"/>
  <c r="X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V105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V10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<sst xmlns="http://schemas.openxmlformats.org/spreadsheetml/2006/main" count="207" uniqueCount="59">
  <si>
    <t>Q1-i Variance-Covariance Matrix</t>
  </si>
  <si>
    <t>BCS</t>
  </si>
  <si>
    <t>BAC</t>
  </si>
  <si>
    <t>JPM</t>
  </si>
  <si>
    <t>C</t>
  </si>
  <si>
    <t>BMO</t>
  </si>
  <si>
    <t>M</t>
  </si>
  <si>
    <t>DE</t>
  </si>
  <si>
    <t>PG</t>
  </si>
  <si>
    <t>SWK</t>
  </si>
  <si>
    <t>PFE</t>
  </si>
  <si>
    <t>AXP</t>
  </si>
  <si>
    <t>NYT</t>
  </si>
  <si>
    <t>WFC</t>
  </si>
  <si>
    <t>TD</t>
  </si>
  <si>
    <t>AAPL</t>
  </si>
  <si>
    <t>AMZN</t>
  </si>
  <si>
    <t>MSFT</t>
  </si>
  <si>
    <t>IBM</t>
  </si>
  <si>
    <t>E[r]</t>
  </si>
  <si>
    <t>E[r] - c</t>
  </si>
  <si>
    <t xml:space="preserve">Mean </t>
  </si>
  <si>
    <t>C =</t>
  </si>
  <si>
    <t xml:space="preserve"> </t>
  </si>
  <si>
    <t>z</t>
  </si>
  <si>
    <t>Port Weight (wi)</t>
  </si>
  <si>
    <t>Expected return</t>
  </si>
  <si>
    <t>Variance</t>
  </si>
  <si>
    <t>Stdev</t>
  </si>
  <si>
    <t>Cov(x,y)</t>
  </si>
  <si>
    <t>Corr(x,y)</t>
  </si>
  <si>
    <t>Q1-i Envelope Portfolio (c=3%)</t>
  </si>
  <si>
    <t>Weight on x</t>
  </si>
  <si>
    <t>← w_x = (c - E[y]) / (E[x] - E[y])</t>
  </si>
  <si>
    <t>Envelope Expected Return</t>
  </si>
  <si>
    <t>← E[r_p] = w·E[x] + (1-w)·E[y]</t>
  </si>
  <si>
    <t>Envelope Variance</t>
  </si>
  <si>
    <t>← σ²_p = w²σ²_x + (1-w)²σ²_y + 2w(1-w)Cov(x,y)</t>
  </si>
  <si>
    <t>Envelope Standard Deviation</t>
  </si>
  <si>
    <t>← σ_p = √(Variance)</t>
  </si>
  <si>
    <t>Q1-ii Proposition 1: 40 Envelope Portfolios</t>
  </si>
  <si>
    <t>Proposition 1: For envelope portfolio with γ scaling:</t>
  </si>
  <si>
    <t>y</t>
  </si>
  <si>
    <t>Stdev(rp*)</t>
  </si>
  <si>
    <t>E[rp*]</t>
  </si>
  <si>
    <t>Stdev(r_p*) = |γ| × σ_envelope</t>
  </si>
  <si>
    <t>E[r_p*] = c + γ × (E[r_envelope] - c)</t>
  </si>
  <si>
    <t>Q1-iii Standardized Returns and Correlation Matrix</t>
  </si>
  <si>
    <t>Correlation Matrix (A'A/n)</t>
  </si>
  <si>
    <t>← C = A'A / n (population correlation)</t>
  </si>
  <si>
    <t>Asset Statistics (Population)</t>
  </si>
  <si>
    <t>Mean</t>
  </si>
  <si>
    <t>Standardized Return Formula:</t>
  </si>
  <si>
    <t>Stdev (pop)</t>
  </si>
  <si>
    <t>A_t,i = (R_t,i - R̄_i) / σ_i</t>
  </si>
  <si>
    <t>Standardized Returns Matrix (A)</t>
  </si>
  <si>
    <t>n = 297 observations</t>
  </si>
  <si>
    <t>date</t>
  </si>
  <si>
    <t>SP500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</si>
</sst>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0.00000"/>
    <numFmt numFmtId="166" formatCode="0.0000"/>
  </numFmts>
  <fonts count="14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</font>
    <font>
      <b/>
      <sz val="12"/>
      <name val="Calibri"/>
    </font>
    <font>
      <b/>
      <i/>
      <sz val="11"/>
      <name val="Calibri"/>
    </font>
    <font>
      <i/>
      <sz val="11"/>
      <name val="Calibri"/>
    </font>
    <font>
      <b/>
      <sz val="14"/>
      <name val="Calibri"/>
    </font>
    <font>
      <i/>
      <sz val="10"/>
      <color rgb="FF666666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8">
    <xf numFmtId="0" fontId="0" fillId="0" borderId="0" xfId="0"/>
    <xf numFmtId="1" fontId="0" fillId="0" borderId="1" xfId="0" applyNumberFormat="1" applyBorder="1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/>
    <xf numFmtId="0" fontId="0" fillId="0" borderId="2" xfId="0" applyBorder="1"/>
    <xf numFmtId="0" fontId="3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top"/>
    </xf>
    <xf numFmtId="0" fontId="5" fillId="0" borderId="1" xfId="0" applyFont="1" applyBorder="1"/>
    <xf numFmtId="165" fontId="4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1" xfId="0" applyNumberForma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1" fillId="0" borderId="1" xfId="0" applyFont="1" applyBorder="1"/>
    <xf numFmtId="166" fontId="1" fillId="0" borderId="0" xfId="0" applyNumberFormat="1" applyFont="1" applyAlignment="1">
      <alignment horizontal="center"/>
    </xf>
    <xf numFmtId="0" fontId="0" fillId="0" borderId="0" xfId="1" applyNumberFormat="1" applyFont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6" fontId="7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166" fontId="0" fillId="0" borderId="0" xfId="0" applyNumberFormat="1"/>
    <xf numFmtId="166" fontId="0" fillId="0" borderId="1" xfId="1" applyNumberFormat="1" applyFont="1" applyBorder="1"/>
    <xf numFmtId="10" fontId="4" fillId="0" borderId="0" xfId="0" applyNumberFormat="1" applyFont="1" applyAlignment="1">
      <alignment horizontal="center"/>
    </xf>
    <xf numFmtId="164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D4B8FE-7E8E-E845-97BB-02EC17CE4BD1}">
  <we:reference id="wa200009152" version="1.0.0.3" store="en-US" storeType="OMEX"/>
  <we:alternateReferences>
    <we:reference id="wa200009152" version="1.0.0.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D7FCB-A2CD-CA48-83AB-539074213DEB}">
  <dimension ref="A1:AS407"/>
  <sheetViews>
    <sheetView topLeftCell="A51" zoomScale="70" zoomScaleNormal="70" workbookViewId="0">
      <selection activeCell="B54" sqref="B54"/>
    </sheetView>
  </sheetViews>
  <sheetFormatPr defaultColWidth="11.42578125" defaultRowHeight="15"/>
  <cols>
    <col min="1" max="1" width="14.7109375" customWidth="1"/>
    <col min="2" max="2" width="12.42578125" customWidth="1"/>
    <col min="3" max="3" width="12.7109375" customWidth="1"/>
    <col min="4" max="4" width="12.42578125" customWidth="1"/>
    <col min="5" max="5" width="12.140625" customWidth="1"/>
    <col min="6" max="6" width="11.7109375" customWidth="1"/>
    <col min="20" max="20" width="28.85546875" customWidth="1"/>
    <col min="21" max="21" width="10.85546875" customWidth="1"/>
    <col min="22" max="22" width="13.140625" customWidth="1"/>
    <col min="23" max="23" width="7.140625" bestFit="1" customWidth="1"/>
    <col min="24" max="25" width="7.7109375" bestFit="1" customWidth="1"/>
    <col min="26" max="28" width="7.140625" bestFit="1" customWidth="1"/>
    <col min="29" max="29" width="7.7109375" bestFit="1" customWidth="1"/>
    <col min="30" max="30" width="7.140625" bestFit="1" customWidth="1"/>
    <col min="31" max="31" width="7.7109375" bestFit="1" customWidth="1"/>
    <col min="32" max="35" width="7.140625" bestFit="1" customWidth="1"/>
    <col min="36" max="36" width="7.7109375" bestFit="1" customWidth="1"/>
    <col min="37" max="37" width="7.140625" bestFit="1" customWidth="1"/>
    <col min="38" max="38" width="7.7109375" bestFit="1" customWidth="1"/>
    <col min="39" max="39" width="7.140625" bestFit="1" customWidth="1"/>
  </cols>
  <sheetData>
    <row r="1" spans="1:45" ht="18.75">
      <c r="A1" s="31" t="s">
        <v>0</v>
      </c>
    </row>
    <row r="2" spans="1:45">
      <c r="A2" s="9"/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9" t="s">
        <v>18</v>
      </c>
    </row>
    <row r="3" spans="1:45" ht="17.100000000000001" thickBot="1">
      <c r="A3" s="7" t="s">
        <v>1</v>
      </c>
      <c r="B3" s="13">
        <f>VARP('Q1'!$W$2:$W$299)</f>
        <v>1.4857201610084405E-2</v>
      </c>
      <c r="C3" s="14">
        <v>1.278067047144912E-2</v>
      </c>
      <c r="D3" s="14">
        <v>9.7855513739697215E-3</v>
      </c>
      <c r="E3" s="14">
        <v>1.3332537552949889E-2</v>
      </c>
      <c r="F3" s="14">
        <v>8.1715907826171684E-3</v>
      </c>
      <c r="G3" s="14">
        <v>1.0762256473721487E-2</v>
      </c>
      <c r="H3" s="14">
        <v>7.79458155902757E-3</v>
      </c>
      <c r="I3" s="14">
        <v>4.3570680730241696E-3</v>
      </c>
      <c r="J3" s="14">
        <v>8.6258017142040802E-3</v>
      </c>
      <c r="K3" s="14">
        <v>5.1834519685383237E-3</v>
      </c>
      <c r="L3" s="14">
        <v>1.0353882339317317E-2</v>
      </c>
      <c r="M3" s="14">
        <v>7.3924292298062555E-3</v>
      </c>
      <c r="N3" s="14">
        <v>9.559811639373415E-3</v>
      </c>
      <c r="O3" s="14">
        <v>7.7968879973671738E-3</v>
      </c>
      <c r="P3" s="14">
        <v>6.1539409104226818E-3</v>
      </c>
      <c r="Q3" s="14">
        <v>5.6473495914548637E-3</v>
      </c>
      <c r="R3" s="14">
        <v>6.0029116718833637E-3</v>
      </c>
      <c r="S3" s="15">
        <v>5.937760825825652E-3</v>
      </c>
      <c r="X3" s="10" t="s">
        <v>19</v>
      </c>
      <c r="Y3" s="10" t="s">
        <v>20</v>
      </c>
      <c r="AA3" s="3" t="s">
        <v>21</v>
      </c>
      <c r="AB3" s="18">
        <f>AVERAGE('Q1'!W2:W299)</f>
        <v>8.1404367941017072E-3</v>
      </c>
      <c r="AC3" s="18">
        <f>AVERAGE('Q1'!X2:X299)</f>
        <v>6.8453662609494993E-3</v>
      </c>
      <c r="AD3" s="18">
        <f>AVERAGE('Q1'!Y2:Y299)</f>
        <v>7.4872864259523959E-3</v>
      </c>
      <c r="AE3" s="18">
        <f>AVERAGE('Q1'!Z2:Z299)</f>
        <v>-5.4653586000939563E-4</v>
      </c>
      <c r="AF3" s="18">
        <f>AVERAGE('Q1'!AA2:AA299)</f>
        <v>8.5277977736131667E-3</v>
      </c>
      <c r="AG3" s="18">
        <f>AVERAGE('Q1'!AB2:AB299)</f>
        <v>6.1527845998647331E-3</v>
      </c>
      <c r="AH3" s="18">
        <f>AVERAGE('Q1'!AC2:AC299)</f>
        <v>1.151211025001723E-2</v>
      </c>
      <c r="AI3" s="18">
        <f>AVERAGE('Q1'!AD2:AD299)</f>
        <v>4.185089846528019E-3</v>
      </c>
      <c r="AJ3" s="18">
        <f>AVERAGE('Q1'!AE2:AE299)</f>
        <v>6.698431002004279E-3</v>
      </c>
      <c r="AK3" s="18">
        <f>AVERAGE('Q1'!AF2:AF299)</f>
        <v>7.2614052217401172E-4</v>
      </c>
      <c r="AL3" s="18">
        <f>AVERAGE('Q1'!AG2:AG299)</f>
        <v>7.3065422316612632E-3</v>
      </c>
      <c r="AM3" s="18">
        <f>AVERAGE('Q1'!AH2:AH299)</f>
        <v>3.2794129195919701E-3</v>
      </c>
      <c r="AN3" s="18">
        <f>AVERAGE('Q1'!AI2:AI299)</f>
        <v>6.3846160279036179E-3</v>
      </c>
      <c r="AO3" s="18">
        <f>AVERAGE('Q1'!AJ2:AJ299)</f>
        <v>7.1863702843914471E-3</v>
      </c>
      <c r="AP3" s="18">
        <f>AVERAGE('Q1'!AK2:AK299)</f>
        <v>2.2335198093183208E-2</v>
      </c>
      <c r="AQ3" s="18">
        <f>AVERAGE('Q1'!AL2:AL299)</f>
        <v>1.8372166535920043E-2</v>
      </c>
      <c r="AR3" s="18">
        <f>AVERAGE('Q1'!AM2:AM299)</f>
        <v>8.592671486205801E-3</v>
      </c>
      <c r="AS3" s="18">
        <f>AVERAGE('Q1'!AN2:AN299)</f>
        <v>3.5001013563708524E-3</v>
      </c>
    </row>
    <row r="4" spans="1:45">
      <c r="A4" s="7" t="s">
        <v>2</v>
      </c>
      <c r="B4" s="14">
        <v>1.278067047144912E-2</v>
      </c>
      <c r="C4" s="13">
        <f>VARP('Q1'!$X$2:$X$299)</f>
        <v>1.5564999140026231E-2</v>
      </c>
      <c r="D4" s="14">
        <v>1.0307797962465035E-2</v>
      </c>
      <c r="E4" s="14">
        <v>1.3743722702124633E-2</v>
      </c>
      <c r="F4" s="14">
        <v>7.9048924400254381E-3</v>
      </c>
      <c r="G4" s="14">
        <v>9.2424529806452143E-3</v>
      </c>
      <c r="H4" s="14">
        <v>7.1197978245879341E-3</v>
      </c>
      <c r="I4" s="14">
        <v>4.3476260600331411E-3</v>
      </c>
      <c r="J4" s="14">
        <v>7.4426493047472049E-3</v>
      </c>
      <c r="K4" s="14">
        <v>5.6257171177565672E-3</v>
      </c>
      <c r="L4" s="14">
        <v>8.9055955969548871E-3</v>
      </c>
      <c r="M4" s="14">
        <v>7.7203269597931517E-3</v>
      </c>
      <c r="N4" s="14">
        <v>1.0306591206296662E-2</v>
      </c>
      <c r="O4" s="14">
        <v>7.718934587687026E-3</v>
      </c>
      <c r="P4" s="14">
        <v>6.1483784793116445E-3</v>
      </c>
      <c r="Q4" s="14">
        <v>5.7151275590125918E-3</v>
      </c>
      <c r="R4" s="14">
        <v>6.079032689213954E-3</v>
      </c>
      <c r="S4" s="15">
        <v>5.8658976176816551E-3</v>
      </c>
      <c r="X4" s="17" cm="1">
        <f t="array" ref="X4:X21">TRANSPOSE(AB3:AS3)</f>
        <v>8.1404367941017072E-3</v>
      </c>
      <c r="Y4" s="17">
        <f>X4-$V$8</f>
        <v>-2.185956320589829E-2</v>
      </c>
    </row>
    <row r="5" spans="1:45" ht="15.95" thickBot="1">
      <c r="A5" s="7" t="s">
        <v>3</v>
      </c>
      <c r="B5" s="14">
        <v>9.7855513739697215E-3</v>
      </c>
      <c r="C5" s="14">
        <v>1.0307797962465035E-2</v>
      </c>
      <c r="D5" s="13">
        <f>VARP('Q1'!$Y$2:$Y$299)</f>
        <v>1.0597621114342462E-2</v>
      </c>
      <c r="E5" s="14">
        <v>1.0323740672967216E-2</v>
      </c>
      <c r="F5" s="14">
        <v>6.6939384525237225E-3</v>
      </c>
      <c r="G5" s="14">
        <v>8.629013668080306E-3</v>
      </c>
      <c r="H5" s="14">
        <v>6.2089351077494826E-3</v>
      </c>
      <c r="I5" s="14">
        <v>3.9892156613973292E-3</v>
      </c>
      <c r="J5" s="14">
        <v>6.8631759800456505E-3</v>
      </c>
      <c r="K5" s="14">
        <v>5.0179831648660325E-3</v>
      </c>
      <c r="L5" s="14">
        <v>7.7730164443958983E-3</v>
      </c>
      <c r="M5" s="14">
        <v>6.8738691285627606E-3</v>
      </c>
      <c r="N5" s="14">
        <v>7.8778826359385511E-3</v>
      </c>
      <c r="O5" s="14">
        <v>7.0296012856105395E-3</v>
      </c>
      <c r="P5" s="14">
        <v>6.1737720548997576E-3</v>
      </c>
      <c r="Q5" s="14">
        <v>6.266164276846343E-3</v>
      </c>
      <c r="R5" s="14">
        <v>6.1411300210876488E-3</v>
      </c>
      <c r="S5" s="15">
        <v>6.2229403052096732E-3</v>
      </c>
      <c r="X5" s="17">
        <v>6.8453662609494993E-3</v>
      </c>
      <c r="Y5" s="17">
        <f t="shared" ref="Y5:Y21" si="0">X5-$V$8</f>
        <v>-2.3154633739050499E-2</v>
      </c>
    </row>
    <row r="6" spans="1:45" ht="15.95" thickBot="1">
      <c r="A6" s="7" t="s">
        <v>4</v>
      </c>
      <c r="B6" s="14">
        <v>1.3332537552949889E-2</v>
      </c>
      <c r="C6" s="14">
        <v>1.3743722702124633E-2</v>
      </c>
      <c r="D6" s="14">
        <v>1.0323740672967216E-2</v>
      </c>
      <c r="E6" s="13">
        <f>VARP('Q1'!$Z$2:$Z$299)</f>
        <v>1.6865827127896315E-2</v>
      </c>
      <c r="F6" s="14">
        <v>8.069450527452145E-3</v>
      </c>
      <c r="G6" s="14">
        <v>9.8797673092054835E-3</v>
      </c>
      <c r="H6" s="14">
        <v>7.5800744098830823E-3</v>
      </c>
      <c r="I6" s="14">
        <v>4.3438005288651297E-3</v>
      </c>
      <c r="J6" s="14">
        <v>7.9280574837642028E-3</v>
      </c>
      <c r="K6" s="14">
        <v>5.7304460799446691E-3</v>
      </c>
      <c r="L6" s="14">
        <v>9.834518355640854E-3</v>
      </c>
      <c r="M6" s="14">
        <v>7.7618236302043663E-3</v>
      </c>
      <c r="N6" s="14">
        <v>9.9752942970789907E-3</v>
      </c>
      <c r="O6" s="14">
        <v>8.0172248592603104E-3</v>
      </c>
      <c r="P6" s="14">
        <v>6.8157814188868756E-3</v>
      </c>
      <c r="Q6" s="14">
        <v>6.566965013506787E-3</v>
      </c>
      <c r="R6" s="14">
        <v>6.8744453461437021E-3</v>
      </c>
      <c r="S6" s="15">
        <v>6.6776437860518291E-3</v>
      </c>
      <c r="X6" s="17">
        <v>7.4872864259523959E-3</v>
      </c>
      <c r="Y6" s="17">
        <f t="shared" si="0"/>
        <v>-2.2512713574047605E-2</v>
      </c>
    </row>
    <row r="7" spans="1:45" ht="15.95" thickBot="1">
      <c r="A7" s="7" t="s">
        <v>5</v>
      </c>
      <c r="B7" s="14">
        <v>8.1715907826171684E-3</v>
      </c>
      <c r="C7" s="14">
        <v>7.9048924400254381E-3</v>
      </c>
      <c r="D7" s="14">
        <v>6.6939384525237225E-3</v>
      </c>
      <c r="E7" s="14">
        <v>8.069450527452145E-3</v>
      </c>
      <c r="F7" s="13">
        <f>VARP('Q1'!$AA$2:$AA$299)</f>
        <v>8.3736861598979074E-3</v>
      </c>
      <c r="G7" s="14">
        <v>7.6478624333886904E-3</v>
      </c>
      <c r="H7" s="14">
        <v>6.2170474672708061E-3</v>
      </c>
      <c r="I7" s="14">
        <v>4.0312723322291615E-3</v>
      </c>
      <c r="J7" s="14">
        <v>6.2962126992692049E-3</v>
      </c>
      <c r="K7" s="14">
        <v>4.6134077172920252E-3</v>
      </c>
      <c r="L7" s="14">
        <v>7.3090749951771183E-3</v>
      </c>
      <c r="M7" s="14">
        <v>5.8904736245028819E-3</v>
      </c>
      <c r="N7" s="14">
        <v>6.9484128824392971E-3</v>
      </c>
      <c r="O7" s="14">
        <v>7.0332294398948638E-3</v>
      </c>
      <c r="P7" s="14">
        <v>5.2717784274990244E-3</v>
      </c>
      <c r="Q7" s="14">
        <v>4.7955554871944271E-3</v>
      </c>
      <c r="R7" s="14">
        <v>4.813318343074433E-3</v>
      </c>
      <c r="S7" s="15">
        <v>5.1446950885181203E-3</v>
      </c>
      <c r="X7" s="17">
        <v>-5.4653586000939563E-4</v>
      </c>
      <c r="Y7" s="17">
        <f t="shared" si="0"/>
        <v>-3.0546535860009393E-2</v>
      </c>
    </row>
    <row r="8" spans="1:45">
      <c r="A8" s="7" t="s">
        <v>6</v>
      </c>
      <c r="B8" s="14">
        <v>1.0762256473721487E-2</v>
      </c>
      <c r="C8" s="14">
        <v>9.2424529806452143E-3</v>
      </c>
      <c r="D8" s="14">
        <v>8.629013668080306E-3</v>
      </c>
      <c r="E8" s="14">
        <v>9.8797673092054835E-3</v>
      </c>
      <c r="F8" s="14">
        <v>7.6478624333886904E-3</v>
      </c>
      <c r="G8" s="13">
        <f>VARP('Q1'!$AB$2:$AB$299)</f>
        <v>1.9794899476357649E-2</v>
      </c>
      <c r="H8" s="14">
        <v>7.6544534036629532E-3</v>
      </c>
      <c r="I8" s="14">
        <v>4.150112135107401E-3</v>
      </c>
      <c r="J8" s="14">
        <v>8.3350875474520678E-3</v>
      </c>
      <c r="K8" s="14">
        <v>5.1266326552058469E-3</v>
      </c>
      <c r="L8" s="14">
        <v>8.8945370778785136E-3</v>
      </c>
      <c r="M8" s="14">
        <v>6.9446358122684099E-3</v>
      </c>
      <c r="N8" s="14">
        <v>8.0767883686615471E-3</v>
      </c>
      <c r="O8" s="14">
        <v>7.4549227472537833E-3</v>
      </c>
      <c r="P8" s="14">
        <v>6.9807441602351998E-3</v>
      </c>
      <c r="Q8" s="14">
        <v>7.0998836408045288E-3</v>
      </c>
      <c r="R8" s="14">
        <v>6.4125394351298966E-3</v>
      </c>
      <c r="S8" s="15">
        <v>6.0835913973726749E-3</v>
      </c>
      <c r="U8" s="11" t="s">
        <v>22</v>
      </c>
      <c r="V8" s="36">
        <v>0.03</v>
      </c>
      <c r="X8" s="17">
        <v>8.5277977736131667E-3</v>
      </c>
      <c r="Y8" s="17">
        <f t="shared" si="0"/>
        <v>-2.1472202226386832E-2</v>
      </c>
    </row>
    <row r="9" spans="1:45" ht="15.95" thickBot="1">
      <c r="A9" s="7" t="s">
        <v>7</v>
      </c>
      <c r="B9" s="14">
        <v>7.79458155902757E-3</v>
      </c>
      <c r="C9" s="14">
        <v>7.1197978245879341E-3</v>
      </c>
      <c r="D9" s="14">
        <v>6.2089351077494826E-3</v>
      </c>
      <c r="E9" s="14">
        <v>7.5800744098830823E-3</v>
      </c>
      <c r="F9" s="14">
        <v>6.2170474672708061E-3</v>
      </c>
      <c r="G9" s="14">
        <v>7.6544534036629532E-3</v>
      </c>
      <c r="H9" s="13">
        <f>VARP('Q1'!$AC$2:$AC$299)</f>
        <v>1.0174936248325012E-2</v>
      </c>
      <c r="I9" s="14">
        <v>4.5183733514833884E-3</v>
      </c>
      <c r="J9" s="14">
        <v>7.3767873650176386E-3</v>
      </c>
      <c r="K9" s="14">
        <v>4.7659548493239109E-3</v>
      </c>
      <c r="L9" s="14">
        <v>7.0281441584043236E-3</v>
      </c>
      <c r="M9" s="14">
        <v>6.1559253501140363E-3</v>
      </c>
      <c r="N9" s="14">
        <v>6.089736553222258E-3</v>
      </c>
      <c r="O9" s="14">
        <v>5.8939262149869734E-3</v>
      </c>
      <c r="P9" s="14">
        <v>5.3628468370533052E-3</v>
      </c>
      <c r="Q9" s="14">
        <v>6.0061790891882154E-3</v>
      </c>
      <c r="R9" s="14">
        <v>4.8441918166125088E-3</v>
      </c>
      <c r="S9" s="15">
        <v>5.0812582110466072E-3</v>
      </c>
      <c r="X9" s="17">
        <v>6.1527845998647331E-3</v>
      </c>
      <c r="Y9" s="17">
        <f t="shared" si="0"/>
        <v>-2.3847215400135267E-2</v>
      </c>
    </row>
    <row r="10" spans="1:45" ht="15.95" thickBot="1">
      <c r="A10" s="7" t="s">
        <v>8</v>
      </c>
      <c r="B10" s="14">
        <v>4.3570680730241696E-3</v>
      </c>
      <c r="C10" s="14">
        <v>4.3476260600331411E-3</v>
      </c>
      <c r="D10" s="14">
        <v>3.9892156613973292E-3</v>
      </c>
      <c r="E10" s="14">
        <v>4.3438005288651297E-3</v>
      </c>
      <c r="F10" s="14">
        <v>4.0312723322291615E-3</v>
      </c>
      <c r="G10" s="14">
        <v>4.150112135107401E-3</v>
      </c>
      <c r="H10" s="14">
        <v>4.5183733514833884E-3</v>
      </c>
      <c r="I10" s="13">
        <f>VARP('Q1'!$AD$2:$AD$299)</f>
        <v>5.9661819555204042E-3</v>
      </c>
      <c r="J10" s="14">
        <v>4.329483750699175E-3</v>
      </c>
      <c r="K10" s="14">
        <v>4.1120162782330681E-3</v>
      </c>
      <c r="L10" s="14">
        <v>4.4387395896047597E-3</v>
      </c>
      <c r="M10" s="14">
        <v>4.2614814949862119E-3</v>
      </c>
      <c r="N10" s="14">
        <v>4.1172352267577214E-3</v>
      </c>
      <c r="O10" s="14">
        <v>4.1610419567452081E-3</v>
      </c>
      <c r="P10" s="14">
        <v>3.2680491646490495E-3</v>
      </c>
      <c r="Q10" s="14">
        <v>3.9850620773174581E-3</v>
      </c>
      <c r="R10" s="14">
        <v>3.3571609489057206E-3</v>
      </c>
      <c r="S10" s="15">
        <v>3.6596816298200699E-3</v>
      </c>
      <c r="X10" s="17">
        <v>1.151211025001723E-2</v>
      </c>
      <c r="Y10" s="17">
        <f t="shared" si="0"/>
        <v>-1.8487889749982771E-2</v>
      </c>
    </row>
    <row r="11" spans="1:45" ht="15.95" thickBot="1">
      <c r="A11" s="7" t="s">
        <v>9</v>
      </c>
      <c r="B11" s="14">
        <v>8.6258017142040802E-3</v>
      </c>
      <c r="C11" s="14">
        <v>7.4426493047472049E-3</v>
      </c>
      <c r="D11" s="14">
        <v>6.8631759800456505E-3</v>
      </c>
      <c r="E11" s="14">
        <v>7.9280574837642028E-3</v>
      </c>
      <c r="F11" s="14">
        <v>6.2962126992692049E-3</v>
      </c>
      <c r="G11" s="14">
        <v>8.3350875474520678E-3</v>
      </c>
      <c r="H11" s="14">
        <v>7.3767873650176386E-3</v>
      </c>
      <c r="I11" s="14">
        <v>4.329483750699175E-3</v>
      </c>
      <c r="J11" s="13">
        <f>VARP('Q1'!$AE$2:$AE$299)</f>
        <v>1.052046068142168E-2</v>
      </c>
      <c r="K11" s="14">
        <v>4.8670711190568327E-3</v>
      </c>
      <c r="L11" s="14">
        <v>7.3763979711562056E-3</v>
      </c>
      <c r="M11" s="14">
        <v>6.5004294333620939E-3</v>
      </c>
      <c r="N11" s="14">
        <v>6.1955324208918432E-3</v>
      </c>
      <c r="O11" s="14">
        <v>6.1772786297465887E-3</v>
      </c>
      <c r="P11" s="14">
        <v>6.3248289635209221E-3</v>
      </c>
      <c r="Q11" s="14">
        <v>5.7317059736097277E-3</v>
      </c>
      <c r="R11" s="14">
        <v>5.2283775957897285E-3</v>
      </c>
      <c r="S11" s="15">
        <v>5.8202160992212124E-3</v>
      </c>
      <c r="X11" s="17">
        <v>4.185089846528019E-3</v>
      </c>
      <c r="Y11" s="17">
        <f t="shared" si="0"/>
        <v>-2.5814910153471982E-2</v>
      </c>
    </row>
    <row r="12" spans="1:45" ht="15.95" thickBot="1">
      <c r="A12" s="7" t="s">
        <v>10</v>
      </c>
      <c r="B12" s="14">
        <v>5.1834519685383237E-3</v>
      </c>
      <c r="C12" s="14">
        <v>5.6257171177565672E-3</v>
      </c>
      <c r="D12" s="14">
        <v>5.0179831648660325E-3</v>
      </c>
      <c r="E12" s="14">
        <v>5.7304460799446691E-3</v>
      </c>
      <c r="F12" s="14">
        <v>4.6134077172920252E-3</v>
      </c>
      <c r="G12" s="14">
        <v>5.1266326552058469E-3</v>
      </c>
      <c r="H12" s="14">
        <v>4.7659548493239109E-3</v>
      </c>
      <c r="I12" s="14">
        <v>4.1120162782330681E-3</v>
      </c>
      <c r="J12" s="14">
        <v>4.8670711190568327E-3</v>
      </c>
      <c r="K12" s="13">
        <f>VARP('Q1'!$AF$2:$AF$299)</f>
        <v>7.0217759416912502E-3</v>
      </c>
      <c r="L12" s="14">
        <v>4.4952722913224252E-3</v>
      </c>
      <c r="M12" s="14">
        <v>4.780467232182414E-3</v>
      </c>
      <c r="N12" s="14">
        <v>4.9135361097032218E-3</v>
      </c>
      <c r="O12" s="14">
        <v>4.5549521555831524E-3</v>
      </c>
      <c r="P12" s="14">
        <v>3.9125741602473365E-3</v>
      </c>
      <c r="Q12" s="14">
        <v>4.2145553859625094E-3</v>
      </c>
      <c r="R12" s="14">
        <v>4.4165885401006117E-3</v>
      </c>
      <c r="S12" s="15">
        <v>4.4619870267632398E-3</v>
      </c>
      <c r="X12" s="17">
        <v>6.698431002004279E-3</v>
      </c>
      <c r="Y12" s="17">
        <f t="shared" si="0"/>
        <v>-2.3301568997995719E-2</v>
      </c>
    </row>
    <row r="13" spans="1:45" ht="15.95" thickBot="1">
      <c r="A13" s="7" t="s">
        <v>11</v>
      </c>
      <c r="B13" s="14">
        <v>1.0353882339317317E-2</v>
      </c>
      <c r="C13" s="14">
        <v>8.9055955969548871E-3</v>
      </c>
      <c r="D13" s="14">
        <v>7.7730164443958983E-3</v>
      </c>
      <c r="E13" s="14">
        <v>9.834518355640854E-3</v>
      </c>
      <c r="F13" s="14">
        <v>7.3090749951771183E-3</v>
      </c>
      <c r="G13" s="14">
        <v>8.8945370778785136E-3</v>
      </c>
      <c r="H13" s="14">
        <v>7.0281441584043236E-3</v>
      </c>
      <c r="I13" s="14">
        <v>4.4387395896047597E-3</v>
      </c>
      <c r="J13" s="14">
        <v>7.3763979711562056E-3</v>
      </c>
      <c r="K13" s="14">
        <v>4.4952722913224252E-3</v>
      </c>
      <c r="L13" s="13">
        <f>VARP('Q1'!$AG$2:$AG$299)</f>
        <v>1.1526551800896994E-2</v>
      </c>
      <c r="M13" s="14">
        <v>6.8201401506721706E-3</v>
      </c>
      <c r="N13" s="14">
        <v>8.0450639503842226E-3</v>
      </c>
      <c r="O13" s="14">
        <v>6.8286895299540613E-3</v>
      </c>
      <c r="P13" s="14">
        <v>6.335407036294172E-3</v>
      </c>
      <c r="Q13" s="14">
        <v>6.7886594567429801E-3</v>
      </c>
      <c r="R13" s="14">
        <v>5.5964507715222673E-3</v>
      </c>
      <c r="S13" s="15">
        <v>5.7218457034186928E-3</v>
      </c>
      <c r="X13" s="17">
        <v>7.2614052217401172E-4</v>
      </c>
      <c r="Y13" s="17">
        <f t="shared" si="0"/>
        <v>-2.9273859477825986E-2</v>
      </c>
    </row>
    <row r="14" spans="1:45" ht="15.95" thickBot="1">
      <c r="A14" s="7" t="s">
        <v>12</v>
      </c>
      <c r="B14" s="14">
        <v>7.3924292298062555E-3</v>
      </c>
      <c r="C14" s="14">
        <v>7.7203269597931517E-3</v>
      </c>
      <c r="D14" s="14">
        <v>6.8738691285627606E-3</v>
      </c>
      <c r="E14" s="14">
        <v>7.7618236302043663E-3</v>
      </c>
      <c r="F14" s="14">
        <v>5.8904736245028819E-3</v>
      </c>
      <c r="G14" s="14">
        <v>6.9446358122684099E-3</v>
      </c>
      <c r="H14" s="14">
        <v>6.1559253501140363E-3</v>
      </c>
      <c r="I14" s="14">
        <v>4.2614814949862119E-3</v>
      </c>
      <c r="J14" s="14">
        <v>6.5004294333620939E-3</v>
      </c>
      <c r="K14" s="14">
        <v>4.780467232182414E-3</v>
      </c>
      <c r="L14" s="14">
        <v>6.8201401506721706E-3</v>
      </c>
      <c r="M14" s="13">
        <f>VARP('Q1'!$AH$2:$AH$299)</f>
        <v>1.3439109033168008E-2</v>
      </c>
      <c r="N14" s="14">
        <v>6.3933901639730405E-3</v>
      </c>
      <c r="O14" s="14">
        <v>5.9482729299522186E-3</v>
      </c>
      <c r="P14" s="14">
        <v>5.3888442904553805E-3</v>
      </c>
      <c r="Q14" s="14">
        <v>5.5556707440246721E-3</v>
      </c>
      <c r="R14" s="14">
        <v>5.4399176399132299E-3</v>
      </c>
      <c r="S14" s="15">
        <v>4.8718686328693885E-3</v>
      </c>
      <c r="X14" s="17">
        <v>7.3065422316612632E-3</v>
      </c>
      <c r="Y14" s="17">
        <f t="shared" si="0"/>
        <v>-2.2693457768338737E-2</v>
      </c>
    </row>
    <row r="15" spans="1:45" ht="15.95" thickBot="1">
      <c r="A15" s="7" t="s">
        <v>13</v>
      </c>
      <c r="B15" s="14">
        <v>9.559811639373415E-3</v>
      </c>
      <c r="C15" s="14">
        <v>1.0306591206296662E-2</v>
      </c>
      <c r="D15" s="14">
        <v>7.8778826359385511E-3</v>
      </c>
      <c r="E15" s="14">
        <v>9.9752942970789907E-3</v>
      </c>
      <c r="F15" s="14">
        <v>6.9484128824392971E-3</v>
      </c>
      <c r="G15" s="14">
        <v>8.0767883686615471E-3</v>
      </c>
      <c r="H15" s="14">
        <v>6.089736553222258E-3</v>
      </c>
      <c r="I15" s="14">
        <v>4.1172352267577214E-3</v>
      </c>
      <c r="J15" s="14">
        <v>6.1955324208918432E-3</v>
      </c>
      <c r="K15" s="14">
        <v>4.9135361097032218E-3</v>
      </c>
      <c r="L15" s="14">
        <v>8.0450639503842226E-3</v>
      </c>
      <c r="M15" s="14">
        <v>6.3933901639730405E-3</v>
      </c>
      <c r="N15" s="13">
        <f>VARP('Q1'!$AI$2:$AI$299)</f>
        <v>1.0266059415146455E-2</v>
      </c>
      <c r="O15" s="14">
        <v>6.4537427511705868E-3</v>
      </c>
      <c r="P15" s="14">
        <v>4.1098172590177196E-3</v>
      </c>
      <c r="Q15" s="14">
        <v>4.2576689027807521E-3</v>
      </c>
      <c r="R15" s="14">
        <v>4.4760434858790998E-3</v>
      </c>
      <c r="S15" s="15">
        <v>4.540251616056405E-3</v>
      </c>
      <c r="X15" s="17">
        <v>3.2794129195919701E-3</v>
      </c>
      <c r="Y15" s="17">
        <f t="shared" si="0"/>
        <v>-2.6720587080408028E-2</v>
      </c>
    </row>
    <row r="16" spans="1:45" ht="15.95" thickBot="1">
      <c r="A16" s="7" t="s">
        <v>14</v>
      </c>
      <c r="B16" s="14">
        <v>7.7968879973671738E-3</v>
      </c>
      <c r="C16" s="14">
        <v>7.718934587687026E-3</v>
      </c>
      <c r="D16" s="14">
        <v>7.0296012856105395E-3</v>
      </c>
      <c r="E16" s="14">
        <v>8.0172248592603104E-3</v>
      </c>
      <c r="F16" s="14">
        <v>7.0332294398948638E-3</v>
      </c>
      <c r="G16" s="14">
        <v>7.4549227472537833E-3</v>
      </c>
      <c r="H16" s="14">
        <v>5.8939262149869734E-3</v>
      </c>
      <c r="I16" s="14">
        <v>4.1610419567452081E-3</v>
      </c>
      <c r="J16" s="14">
        <v>6.1772786297465887E-3</v>
      </c>
      <c r="K16" s="14">
        <v>4.5549521555831524E-3</v>
      </c>
      <c r="L16" s="14">
        <v>6.8286895299540613E-3</v>
      </c>
      <c r="M16" s="14">
        <v>5.9482729299522186E-3</v>
      </c>
      <c r="N16" s="14">
        <v>6.4537427511705868E-3</v>
      </c>
      <c r="O16" s="13">
        <f>VARP('Q1'!$AJ$2:$AJ$299)</f>
        <v>8.0594394239854386E-3</v>
      </c>
      <c r="P16" s="14">
        <v>5.9939616133384954E-3</v>
      </c>
      <c r="Q16" s="14">
        <v>5.6307585317663302E-3</v>
      </c>
      <c r="R16" s="14">
        <v>4.944611455707717E-3</v>
      </c>
      <c r="S16" s="15">
        <v>5.525744220344889E-3</v>
      </c>
      <c r="X16" s="17">
        <v>6.3846160279036179E-3</v>
      </c>
      <c r="Y16" s="17">
        <f t="shared" si="0"/>
        <v>-2.3615383972096379E-2</v>
      </c>
    </row>
    <row r="17" spans="1:25" ht="15.95" thickBot="1">
      <c r="A17" s="7" t="s">
        <v>15</v>
      </c>
      <c r="B17" s="14">
        <v>6.1539409104226818E-3</v>
      </c>
      <c r="C17" s="14">
        <v>6.1483784793116445E-3</v>
      </c>
      <c r="D17" s="14">
        <v>6.1737720548997576E-3</v>
      </c>
      <c r="E17" s="14">
        <v>6.8157814188868756E-3</v>
      </c>
      <c r="F17" s="14">
        <v>5.2717784274990244E-3</v>
      </c>
      <c r="G17" s="14">
        <v>6.9807441602351998E-3</v>
      </c>
      <c r="H17" s="14">
        <v>5.3628468370533052E-3</v>
      </c>
      <c r="I17" s="14">
        <v>3.2680491646490495E-3</v>
      </c>
      <c r="J17" s="14">
        <v>6.3248289635209221E-3</v>
      </c>
      <c r="K17" s="14">
        <v>3.9125741602473365E-3</v>
      </c>
      <c r="L17" s="14">
        <v>6.335407036294172E-3</v>
      </c>
      <c r="M17" s="14">
        <v>5.3888442904553805E-3</v>
      </c>
      <c r="N17" s="14">
        <v>4.1098172590177196E-3</v>
      </c>
      <c r="O17" s="14">
        <v>5.9939616133384954E-3</v>
      </c>
      <c r="P17" s="13">
        <f>VARP('Q1'!$AK$2:$AK$299)</f>
        <v>1.5706320099688184E-2</v>
      </c>
      <c r="Q17" s="14">
        <v>9.316948580978042E-3</v>
      </c>
      <c r="R17" s="14">
        <v>7.6356252596255832E-3</v>
      </c>
      <c r="S17" s="15">
        <v>6.7772585593986997E-3</v>
      </c>
      <c r="X17" s="17">
        <v>7.1863702843914471E-3</v>
      </c>
      <c r="Y17" s="17">
        <f t="shared" si="0"/>
        <v>-2.2813629715608554E-2</v>
      </c>
    </row>
    <row r="18" spans="1:25" ht="15.95" thickBot="1">
      <c r="A18" s="7" t="s">
        <v>16</v>
      </c>
      <c r="B18" s="14">
        <v>5.6473495914548637E-3</v>
      </c>
      <c r="C18" s="14">
        <v>5.7151275590125918E-3</v>
      </c>
      <c r="D18" s="14">
        <v>6.266164276846343E-3</v>
      </c>
      <c r="E18" s="14">
        <v>6.566965013506787E-3</v>
      </c>
      <c r="F18" s="14">
        <v>4.7955554871944271E-3</v>
      </c>
      <c r="G18" s="14">
        <v>7.0998836408045288E-3</v>
      </c>
      <c r="H18" s="14">
        <v>6.0061790891882154E-3</v>
      </c>
      <c r="I18" s="14">
        <v>3.9850620773174581E-3</v>
      </c>
      <c r="J18" s="14">
        <v>5.7317059736097277E-3</v>
      </c>
      <c r="K18" s="14">
        <v>4.2145553859625094E-3</v>
      </c>
      <c r="L18" s="14">
        <v>6.7886594567429801E-3</v>
      </c>
      <c r="M18" s="14">
        <v>5.5556707440246721E-3</v>
      </c>
      <c r="N18" s="14">
        <v>4.2576689027807521E-3</v>
      </c>
      <c r="O18" s="14">
        <v>5.6307585317663302E-3</v>
      </c>
      <c r="P18" s="14">
        <v>9.316948580978042E-3</v>
      </c>
      <c r="Q18" s="13">
        <f>VARP('Q1'!$AL$2:$AL$299)</f>
        <v>1.979483172992667E-2</v>
      </c>
      <c r="R18" s="14">
        <v>7.8245937655783433E-3</v>
      </c>
      <c r="S18" s="15">
        <v>6.9412992768246359E-3</v>
      </c>
      <c r="X18" s="17">
        <v>2.2335198093183208E-2</v>
      </c>
      <c r="Y18" s="17">
        <f t="shared" si="0"/>
        <v>-7.6648019068167907E-3</v>
      </c>
    </row>
    <row r="19" spans="1:25" ht="15.95" thickBot="1">
      <c r="A19" s="7" t="s">
        <v>17</v>
      </c>
      <c r="B19" s="14">
        <v>6.0029116718833637E-3</v>
      </c>
      <c r="C19" s="14">
        <v>6.079032689213954E-3</v>
      </c>
      <c r="D19" s="14">
        <v>6.1411300210876488E-3</v>
      </c>
      <c r="E19" s="14">
        <v>6.8744453461437021E-3</v>
      </c>
      <c r="F19" s="14">
        <v>4.813318343074433E-3</v>
      </c>
      <c r="G19" s="14">
        <v>6.4125394351298966E-3</v>
      </c>
      <c r="H19" s="14">
        <v>4.8441918166125088E-3</v>
      </c>
      <c r="I19" s="14">
        <v>3.3571609489057206E-3</v>
      </c>
      <c r="J19" s="14">
        <v>5.2283775957897285E-3</v>
      </c>
      <c r="K19" s="14">
        <v>4.4165885401006117E-3</v>
      </c>
      <c r="L19" s="14">
        <v>5.5964507715222673E-3</v>
      </c>
      <c r="M19" s="14">
        <v>5.4399176399132299E-3</v>
      </c>
      <c r="N19" s="14">
        <v>4.4760434858790998E-3</v>
      </c>
      <c r="O19" s="14">
        <v>4.944611455707717E-3</v>
      </c>
      <c r="P19" s="14">
        <v>7.6356252596255832E-3</v>
      </c>
      <c r="Q19" s="14">
        <v>7.8245937655783433E-3</v>
      </c>
      <c r="R19" s="13">
        <f>VARP('Q1'!$AM$2:$AM$299)</f>
        <v>9.8338453392424127E-3</v>
      </c>
      <c r="S19" s="15">
        <v>6.095224003754624E-3</v>
      </c>
      <c r="X19" s="17">
        <v>1.8372166535920043E-2</v>
      </c>
      <c r="Y19" s="17">
        <f t="shared" si="0"/>
        <v>-1.1627833464079956E-2</v>
      </c>
    </row>
    <row r="20" spans="1:25" ht="15.95" thickBot="1">
      <c r="A20" s="8" t="s">
        <v>18</v>
      </c>
      <c r="B20" s="15">
        <v>5.937760825825652E-3</v>
      </c>
      <c r="C20" s="15">
        <v>5.8658976176816551E-3</v>
      </c>
      <c r="D20" s="15">
        <v>6.2229403052096732E-3</v>
      </c>
      <c r="E20" s="15">
        <v>6.6776437860518291E-3</v>
      </c>
      <c r="F20" s="15">
        <v>5.1446950885181203E-3</v>
      </c>
      <c r="G20" s="15">
        <v>6.0835913973726749E-3</v>
      </c>
      <c r="H20" s="15">
        <v>5.0812582110466072E-3</v>
      </c>
      <c r="I20" s="15">
        <v>3.6596816298200699E-3</v>
      </c>
      <c r="J20" s="15">
        <v>5.8202160992212124E-3</v>
      </c>
      <c r="K20" s="15">
        <v>4.4619870267632398E-3</v>
      </c>
      <c r="L20" s="15">
        <v>5.7218457034186928E-3</v>
      </c>
      <c r="M20" s="15">
        <v>4.8718686328693885E-3</v>
      </c>
      <c r="N20" s="15">
        <v>4.540251616056405E-3</v>
      </c>
      <c r="O20" s="15">
        <v>5.525744220344889E-3</v>
      </c>
      <c r="P20" s="15">
        <v>6.7772585593986997E-3</v>
      </c>
      <c r="Q20" s="15">
        <v>6.9412992768246359E-3</v>
      </c>
      <c r="R20" s="15">
        <v>6.095224003754624E-3</v>
      </c>
      <c r="S20" s="16">
        <f>VARP('Q1'!$AN$2:$AN$299)</f>
        <v>8.5473119332974655E-3</v>
      </c>
      <c r="V20" s="3" t="s">
        <v>23</v>
      </c>
      <c r="X20" s="17">
        <v>8.592671486205801E-3</v>
      </c>
      <c r="Y20" s="17">
        <f t="shared" si="0"/>
        <v>-2.1407328513794198E-2</v>
      </c>
    </row>
    <row r="21" spans="1:25">
      <c r="X21" s="17">
        <v>3.5001013563708524E-3</v>
      </c>
      <c r="Y21" s="17">
        <f t="shared" si="0"/>
        <v>-2.6499898643629147E-2</v>
      </c>
    </row>
    <row r="23" spans="1:25" ht="15.95">
      <c r="A23" s="10" t="s">
        <v>24</v>
      </c>
      <c r="B23" s="12" t="s">
        <v>25</v>
      </c>
      <c r="D23" s="10" t="s">
        <v>24</v>
      </c>
      <c r="E23" s="12" t="s">
        <v>25</v>
      </c>
    </row>
    <row r="24" spans="1:25">
      <c r="A24" s="17" cm="1">
        <f t="array" ref="A24:A41">MMULT(MINVERSE(B3:S20),_xlfn.ANCHORARRAY(X4))</f>
        <v>1.4611929460124553</v>
      </c>
      <c r="B24" s="18">
        <f>A24/(SUM($A$24:$A$41))</f>
        <v>1.1270091289136348</v>
      </c>
      <c r="C24" s="18"/>
      <c r="D24" s="18" cm="1">
        <f t="array" ref="D24:D41">MMULT(MINVERSE(B3:S20),Y4:Y21)</f>
        <v>1.3381502035630213</v>
      </c>
      <c r="E24" s="18">
        <f>D24/(SUM($D$24:$D$41))</f>
        <v>-0.25812815120477556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5">
      <c r="A25" s="17">
        <v>0.19685657102111048</v>
      </c>
      <c r="B25" s="18">
        <f t="shared" ref="B25:B41" si="1">A25/(SUM($A$24:$A$41))</f>
        <v>0.15183426202054473</v>
      </c>
      <c r="C25" s="18"/>
      <c r="D25" s="18">
        <v>0.7925203700011535</v>
      </c>
      <c r="E25" s="18">
        <f t="shared" ref="E25:E41" si="2">D25/(SUM($D$24:$D$41))</f>
        <v>-0.15287657346374114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5">
      <c r="A26" s="17">
        <v>0.82804089654825863</v>
      </c>
      <c r="B26" s="18">
        <f t="shared" si="1"/>
        <v>0.63866284878421753</v>
      </c>
      <c r="C26" s="18"/>
      <c r="D26" s="18">
        <v>0.75021284432827939</v>
      </c>
      <c r="E26" s="18">
        <f t="shared" si="2"/>
        <v>-0.14471548410702362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5">
      <c r="A27" s="17">
        <v>-2.4144074462057321</v>
      </c>
      <c r="B27" s="18">
        <f t="shared" si="1"/>
        <v>-1.862217608028147</v>
      </c>
      <c r="C27" s="18"/>
      <c r="D27" s="18">
        <v>-1.7502584232373848</v>
      </c>
      <c r="E27" s="18">
        <f t="shared" si="2"/>
        <v>0.33762351170884397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5">
      <c r="A28" s="17">
        <v>1.2337275769278813</v>
      </c>
      <c r="B28" s="18">
        <f t="shared" si="1"/>
        <v>0.95156648927483167</v>
      </c>
      <c r="C28" s="18"/>
      <c r="D28" s="18">
        <v>0.63073592091328123</v>
      </c>
      <c r="E28" s="18">
        <f t="shared" si="2"/>
        <v>-0.1216684769245481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5">
      <c r="A29" s="17">
        <v>-0.48901155754740011</v>
      </c>
      <c r="B29" s="18">
        <f t="shared" si="1"/>
        <v>-0.37717160557350338</v>
      </c>
      <c r="C29" s="18"/>
      <c r="D29" s="18">
        <v>-0.2710146373833825</v>
      </c>
      <c r="E29" s="18">
        <f t="shared" si="2"/>
        <v>5.2278516351105954E-2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5">
      <c r="A30" s="17">
        <v>1.3585929296135106</v>
      </c>
      <c r="B30" s="18">
        <f t="shared" si="1"/>
        <v>1.0478743675367388</v>
      </c>
      <c r="C30" s="18"/>
      <c r="D30" s="18">
        <v>1.2253687658196351</v>
      </c>
      <c r="E30" s="18">
        <f t="shared" si="2"/>
        <v>-0.23637269808942149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5">
      <c r="A31" s="17">
        <v>0.16687422367533919</v>
      </c>
      <c r="B31" s="18">
        <f t="shared" si="1"/>
        <v>0.12870906198645168</v>
      </c>
      <c r="C31" s="18"/>
      <c r="D31" s="18">
        <v>-2.5243784094801414</v>
      </c>
      <c r="E31" s="18">
        <f t="shared" si="2"/>
        <v>0.48695066521332592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5">
      <c r="A32" s="17">
        <v>-0.5572189496311305</v>
      </c>
      <c r="B32" s="18">
        <f t="shared" si="1"/>
        <v>-0.42977954742507901</v>
      </c>
      <c r="C32" s="18"/>
      <c r="D32" s="18">
        <v>-0.48266429790232723</v>
      </c>
      <c r="E32" s="18">
        <f t="shared" si="2"/>
        <v>9.310557405165848E-2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2">
      <c r="A33" s="17">
        <v>-1.1132650264348591</v>
      </c>
      <c r="B33" s="18">
        <f t="shared" si="1"/>
        <v>-0.85865446525476885</v>
      </c>
      <c r="C33" s="18"/>
      <c r="D33" s="18">
        <v>-2.3025487056930189</v>
      </c>
      <c r="E33" s="18">
        <f t="shared" si="2"/>
        <v>0.44415988494934028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2">
      <c r="A34" s="17">
        <v>-0.85158316762566966</v>
      </c>
      <c r="B34" s="18">
        <f t="shared" si="1"/>
        <v>-0.65682085761666331</v>
      </c>
      <c r="C34" s="17"/>
      <c r="D34" s="17">
        <v>-0.50689107393351851</v>
      </c>
      <c r="E34" s="18">
        <f t="shared" si="2"/>
        <v>9.7778900625859505E-2</v>
      </c>
      <c r="T34" s="7"/>
      <c r="U34" s="7"/>
      <c r="V34" s="7"/>
    </row>
    <row r="35" spans="1:22">
      <c r="A35" s="17">
        <v>-0.46392555608189895</v>
      </c>
      <c r="B35" s="18">
        <f t="shared" si="1"/>
        <v>-0.35782292699090112</v>
      </c>
      <c r="C35" s="17"/>
      <c r="D35" s="17">
        <v>-0.57388120959768452</v>
      </c>
      <c r="E35" s="18">
        <f t="shared" si="2"/>
        <v>0.1107012465791805</v>
      </c>
      <c r="T35" s="7"/>
    </row>
    <row r="36" spans="1:22">
      <c r="A36" s="17">
        <v>1.0996523691369668</v>
      </c>
      <c r="B36" s="18">
        <f t="shared" si="1"/>
        <v>0.84815510643609671</v>
      </c>
      <c r="C36" s="17"/>
      <c r="D36" s="17">
        <v>-0.18482267564250798</v>
      </c>
      <c r="E36" s="18">
        <f t="shared" si="2"/>
        <v>3.5652152828054062E-2</v>
      </c>
      <c r="T36" s="7"/>
    </row>
    <row r="37" spans="1:22">
      <c r="A37" s="17">
        <v>-0.54001401483446254</v>
      </c>
      <c r="B37" s="18">
        <f t="shared" si="1"/>
        <v>-0.41650948707396412</v>
      </c>
      <c r="C37" s="18"/>
      <c r="D37" s="18">
        <v>-0.80080169983971228</v>
      </c>
      <c r="E37" s="18">
        <f t="shared" si="2"/>
        <v>0.15447403565823348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2">
      <c r="A38" s="17">
        <v>1.7623450108953145</v>
      </c>
      <c r="B38" s="18">
        <f t="shared" si="1"/>
        <v>1.3592858636462979</v>
      </c>
      <c r="C38" s="18"/>
      <c r="D38" s="18">
        <v>1.4413373378842147</v>
      </c>
      <c r="E38" s="18">
        <f t="shared" si="2"/>
        <v>-0.2780328705251684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2">
      <c r="A39" s="17">
        <v>0.7044693237280707</v>
      </c>
      <c r="B39" s="18">
        <f t="shared" si="1"/>
        <v>0.5433528549722294</v>
      </c>
      <c r="C39" s="18"/>
      <c r="D39" s="18">
        <v>0.76858993679287413</v>
      </c>
      <c r="E39" s="18">
        <f t="shared" si="2"/>
        <v>-0.14826041119351541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2">
      <c r="A40" s="17">
        <v>0.19001013125633837</v>
      </c>
      <c r="B40" s="18">
        <f t="shared" si="1"/>
        <v>0.1465536451543655</v>
      </c>
      <c r="C40" s="18"/>
      <c r="D40" s="18">
        <v>-0.67150591101136681</v>
      </c>
      <c r="E40" s="18">
        <f t="shared" si="2"/>
        <v>0.12953297684438853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2">
      <c r="A41" s="17">
        <v>-1.2758135362584579</v>
      </c>
      <c r="B41" s="18">
        <f t="shared" si="1"/>
        <v>-0.98402713076238213</v>
      </c>
      <c r="C41" s="18"/>
      <c r="D41" s="18">
        <v>-2.0622020597389694</v>
      </c>
      <c r="E41" s="18">
        <f t="shared" si="2"/>
        <v>0.3977972006982029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2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2">
      <c r="T43" s="7"/>
    </row>
    <row r="44" spans="1:22">
      <c r="A44" s="3" t="s">
        <v>26</v>
      </c>
      <c r="B44" s="18" cm="1">
        <f t="array" ref="B44">MMULT(TRANSPOSE(B24:B41),X4:X21)</f>
        <v>6.5513986450105866E-2</v>
      </c>
      <c r="C44" s="18" cm="1">
        <f t="array" ref="C44">MMULT(TRANSPOSE(E24:E41),X4:X21)</f>
        <v>-8.8819855868335386E-3</v>
      </c>
      <c r="T44" s="7"/>
    </row>
    <row r="45" spans="1:22">
      <c r="A45" s="3" t="s">
        <v>27</v>
      </c>
      <c r="B45" s="18" cm="1">
        <f t="array" ref="B45">MMULT(MMULT(TRANSPOSE(B24:B41),B3:S20),B24:B41)</f>
        <v>5.0530534658195736E-2</v>
      </c>
      <c r="C45" s="18" cm="1">
        <f t="array" ref="C45">MMULT(MMULT(TRANSPOSE(E24:E41),B3:S20),E24:E41)</f>
        <v>7.5003052930652531E-3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2">
      <c r="A46" s="3" t="s">
        <v>28</v>
      </c>
      <c r="B46" s="18">
        <f>B45^0.5</f>
        <v>0.22478997899861047</v>
      </c>
      <c r="C46" s="18">
        <f>C45^0.5</f>
        <v>8.6604302970841193E-2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spans="1:22"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1:22" ht="15.95">
      <c r="A48" s="19" t="s">
        <v>29</v>
      </c>
      <c r="B48" s="23" cm="1">
        <f t="array" ref="B48">MMULT(MMULT(TRANSPOSE(B24:B41),B3:S20),E24:E41)</f>
        <v>-6.8506208345433675E-3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1:20" ht="15.95">
      <c r="A49" s="19" t="s">
        <v>30</v>
      </c>
      <c r="B49">
        <f>B48/(B46*C46)</f>
        <v>-0.35189533832269188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1" spans="1:20" ht="18.75">
      <c r="A51" s="31" t="s">
        <v>31</v>
      </c>
    </row>
    <row r="53" spans="1:20" ht="15.75">
      <c r="A53" s="20" t="s">
        <v>32</v>
      </c>
      <c r="B53" s="34">
        <f>(V8-C44)/(B44-C44)</f>
        <v>0.52263562827739773</v>
      </c>
      <c r="D53" s="32" t="s">
        <v>33</v>
      </c>
    </row>
    <row r="54" spans="1:20" ht="15.75">
      <c r="A54" s="20" t="s">
        <v>34</v>
      </c>
      <c r="B54" s="35">
        <f>(B53*B44) + ((1-B53)*C44)</f>
        <v>3.0000000000000002E-2</v>
      </c>
      <c r="D54" s="32" t="s">
        <v>35</v>
      </c>
    </row>
    <row r="55" spans="1:20">
      <c r="A55" s="3" t="s">
        <v>36</v>
      </c>
      <c r="B55" s="17">
        <f>((B53^2)*B45) + (((1-B53)^2)*C45) + 2*B53*(1-B53)*B48</f>
        <v>1.2093169333417782E-2</v>
      </c>
      <c r="D55" s="32" t="s">
        <v>37</v>
      </c>
    </row>
    <row r="56" spans="1:20">
      <c r="A56" s="21" t="s">
        <v>38</v>
      </c>
      <c r="B56" s="22">
        <f>B55^0.5</f>
        <v>0.1099689471324418</v>
      </c>
      <c r="D56" s="32" t="s">
        <v>39</v>
      </c>
    </row>
    <row r="58" spans="1:20" ht="18.75">
      <c r="A58" s="31" t="s">
        <v>40</v>
      </c>
      <c r="E58" s="32" t="s">
        <v>41</v>
      </c>
    </row>
    <row r="59" spans="1:20">
      <c r="A59" s="25" t="s">
        <v>42</v>
      </c>
      <c r="B59" s="25" t="s">
        <v>43</v>
      </c>
      <c r="C59" s="25" t="s">
        <v>44</v>
      </c>
      <c r="E59" s="32" t="s">
        <v>45</v>
      </c>
    </row>
    <row r="60" spans="1:20">
      <c r="A60" s="17">
        <v>-1</v>
      </c>
      <c r="B60" s="17">
        <f>ABS(A60)*$B$56</f>
        <v>0.1099689471324418</v>
      </c>
      <c r="C60" s="17">
        <f>$V$8 + A60*($B$54 - $V$8)</f>
        <v>2.9999999999999995E-2</v>
      </c>
      <c r="E60" s="32" t="s">
        <v>46</v>
      </c>
    </row>
    <row r="61" spans="1:20">
      <c r="A61" s="17">
        <f>A60+0.0769230769230769</f>
        <v>-0.92307692307692313</v>
      </c>
      <c r="B61" s="17">
        <f t="shared" ref="B61:B99" si="3">ABS(A61)*$B$56</f>
        <v>0.10150979735302321</v>
      </c>
      <c r="C61" s="17">
        <f t="shared" ref="C61:C99" si="4">$V$8 + A61*($B$54 - $V$8)</f>
        <v>2.9999999999999995E-2</v>
      </c>
    </row>
    <row r="62" spans="1:20">
      <c r="A62" s="17">
        <f>A61+0.0769230769230769</f>
        <v>-0.84615384615384626</v>
      </c>
      <c r="B62" s="17">
        <f t="shared" si="3"/>
        <v>9.3050647573604622E-2</v>
      </c>
      <c r="C62" s="17">
        <f t="shared" si="4"/>
        <v>2.9999999999999995E-2</v>
      </c>
    </row>
    <row r="63" spans="1:20">
      <c r="A63" s="17">
        <f t="shared" ref="A63:A99" si="5">A62+0.0769230769230769</f>
        <v>-0.76923076923076938</v>
      </c>
      <c r="B63" s="17">
        <f t="shared" si="3"/>
        <v>8.4591497794186024E-2</v>
      </c>
      <c r="C63" s="17">
        <f t="shared" si="4"/>
        <v>2.9999999999999995E-2</v>
      </c>
    </row>
    <row r="64" spans="1:20">
      <c r="A64" s="17">
        <f t="shared" si="5"/>
        <v>-0.69230769230769251</v>
      </c>
      <c r="B64" s="17">
        <f t="shared" si="3"/>
        <v>7.6132348014767426E-2</v>
      </c>
      <c r="C64" s="17">
        <f t="shared" si="4"/>
        <v>2.9999999999999995E-2</v>
      </c>
    </row>
    <row r="65" spans="1:3">
      <c r="A65" s="17">
        <f t="shared" si="5"/>
        <v>-0.61538461538461564</v>
      </c>
      <c r="B65" s="17">
        <f t="shared" si="3"/>
        <v>6.7673198235348828E-2</v>
      </c>
      <c r="C65" s="17">
        <f t="shared" si="4"/>
        <v>2.9999999999999995E-2</v>
      </c>
    </row>
    <row r="66" spans="1:3">
      <c r="A66" s="17">
        <f t="shared" si="5"/>
        <v>-0.53846153846153877</v>
      </c>
      <c r="B66" s="17">
        <f t="shared" si="3"/>
        <v>5.9214048455930236E-2</v>
      </c>
      <c r="C66" s="17">
        <f t="shared" si="4"/>
        <v>2.9999999999999995E-2</v>
      </c>
    </row>
    <row r="67" spans="1:3">
      <c r="A67" s="17">
        <f t="shared" si="5"/>
        <v>-0.4615384615384619</v>
      </c>
      <c r="B67" s="17">
        <f t="shared" si="3"/>
        <v>5.0754898676511645E-2</v>
      </c>
      <c r="C67" s="17">
        <f t="shared" si="4"/>
        <v>0.03</v>
      </c>
    </row>
    <row r="68" spans="1:3">
      <c r="A68" s="17">
        <f t="shared" si="5"/>
        <v>-0.38461538461538503</v>
      </c>
      <c r="B68" s="17">
        <f t="shared" si="3"/>
        <v>4.2295748897093047E-2</v>
      </c>
      <c r="C68" s="17">
        <f t="shared" si="4"/>
        <v>0.03</v>
      </c>
    </row>
    <row r="69" spans="1:3">
      <c r="A69" s="17">
        <f t="shared" si="5"/>
        <v>-0.30769230769230815</v>
      </c>
      <c r="B69" s="17">
        <f t="shared" si="3"/>
        <v>3.3836599117674455E-2</v>
      </c>
      <c r="C69" s="17">
        <f t="shared" si="4"/>
        <v>0.03</v>
      </c>
    </row>
    <row r="70" spans="1:3">
      <c r="A70" s="17">
        <f t="shared" si="5"/>
        <v>-0.23076923076923125</v>
      </c>
      <c r="B70" s="17">
        <f t="shared" si="3"/>
        <v>2.5377449338255854E-2</v>
      </c>
      <c r="C70" s="17">
        <f t="shared" si="4"/>
        <v>0.03</v>
      </c>
    </row>
    <row r="71" spans="1:3">
      <c r="A71" s="17">
        <f t="shared" si="5"/>
        <v>-0.15384615384615435</v>
      </c>
      <c r="B71" s="17">
        <f t="shared" si="3"/>
        <v>1.6918299558837255E-2</v>
      </c>
      <c r="C71" s="17">
        <f t="shared" si="4"/>
        <v>0.03</v>
      </c>
    </row>
    <row r="72" spans="1:3">
      <c r="A72" s="17">
        <f t="shared" si="5"/>
        <v>-7.6923076923077455E-2</v>
      </c>
      <c r="B72" s="17">
        <f t="shared" si="3"/>
        <v>8.459149779418659E-3</v>
      </c>
      <c r="C72" s="17">
        <f t="shared" si="4"/>
        <v>0.03</v>
      </c>
    </row>
    <row r="73" spans="1:3">
      <c r="A73" s="17">
        <f t="shared" si="5"/>
        <v>-5.5511151231257827E-16</v>
      </c>
      <c r="B73" s="17">
        <f t="shared" si="3"/>
        <v>6.1045028550111739E-17</v>
      </c>
      <c r="C73" s="17">
        <f t="shared" si="4"/>
        <v>0.03</v>
      </c>
    </row>
    <row r="74" spans="1:3">
      <c r="A74" s="17">
        <f t="shared" si="5"/>
        <v>7.6923076923076344E-2</v>
      </c>
      <c r="B74" s="17">
        <f t="shared" si="3"/>
        <v>8.4591497794185375E-3</v>
      </c>
      <c r="C74" s="17">
        <f t="shared" si="4"/>
        <v>0.03</v>
      </c>
    </row>
    <row r="75" spans="1:3">
      <c r="A75" s="17">
        <f t="shared" si="5"/>
        <v>0.15384615384615324</v>
      </c>
      <c r="B75" s="17">
        <f t="shared" si="3"/>
        <v>1.6918299558837134E-2</v>
      </c>
      <c r="C75" s="17">
        <f t="shared" si="4"/>
        <v>0.03</v>
      </c>
    </row>
    <row r="76" spans="1:3">
      <c r="A76" s="17">
        <f t="shared" si="5"/>
        <v>0.23076923076923014</v>
      </c>
      <c r="B76" s="17">
        <f t="shared" si="3"/>
        <v>2.5377449338255732E-2</v>
      </c>
      <c r="C76" s="17">
        <f t="shared" si="4"/>
        <v>0.03</v>
      </c>
    </row>
    <row r="77" spans="1:3">
      <c r="A77" s="17">
        <f t="shared" si="5"/>
        <v>0.30769230769230704</v>
      </c>
      <c r="B77" s="17">
        <f t="shared" si="3"/>
        <v>3.3836599117674331E-2</v>
      </c>
      <c r="C77" s="17">
        <f t="shared" si="4"/>
        <v>0.03</v>
      </c>
    </row>
    <row r="78" spans="1:3">
      <c r="A78" s="17">
        <f t="shared" si="5"/>
        <v>0.38461538461538392</v>
      </c>
      <c r="B78" s="17">
        <f t="shared" si="3"/>
        <v>4.2295748897092922E-2</v>
      </c>
      <c r="C78" s="17">
        <f t="shared" si="4"/>
        <v>0.03</v>
      </c>
    </row>
    <row r="79" spans="1:3">
      <c r="A79" s="17">
        <f t="shared" si="5"/>
        <v>0.46153846153846079</v>
      </c>
      <c r="B79" s="17">
        <f t="shared" si="3"/>
        <v>5.075489867651152E-2</v>
      </c>
      <c r="C79" s="17">
        <f t="shared" si="4"/>
        <v>0.03</v>
      </c>
    </row>
    <row r="80" spans="1:3">
      <c r="A80" s="17">
        <f t="shared" si="5"/>
        <v>0.53846153846153766</v>
      </c>
      <c r="B80" s="17">
        <f t="shared" si="3"/>
        <v>5.9214048455930111E-2</v>
      </c>
      <c r="C80" s="17">
        <f t="shared" si="4"/>
        <v>3.0000000000000002E-2</v>
      </c>
    </row>
    <row r="81" spans="1:3">
      <c r="A81" s="17">
        <f t="shared" si="5"/>
        <v>0.61538461538461453</v>
      </c>
      <c r="B81" s="17">
        <f t="shared" si="3"/>
        <v>6.7673198235348703E-2</v>
      </c>
      <c r="C81" s="17">
        <f t="shared" si="4"/>
        <v>3.0000000000000002E-2</v>
      </c>
    </row>
    <row r="82" spans="1:3">
      <c r="A82" s="17">
        <f t="shared" si="5"/>
        <v>0.6923076923076914</v>
      </c>
      <c r="B82" s="17">
        <f t="shared" si="3"/>
        <v>7.6132348014767301E-2</v>
      </c>
      <c r="C82" s="17">
        <f t="shared" si="4"/>
        <v>3.0000000000000002E-2</v>
      </c>
    </row>
    <row r="83" spans="1:3">
      <c r="A83" s="17">
        <f t="shared" si="5"/>
        <v>0.76923076923076827</v>
      </c>
      <c r="B83" s="17">
        <f t="shared" si="3"/>
        <v>8.4591497794185899E-2</v>
      </c>
      <c r="C83" s="17">
        <f t="shared" si="4"/>
        <v>3.0000000000000002E-2</v>
      </c>
    </row>
    <row r="84" spans="1:3">
      <c r="A84" s="17">
        <f t="shared" si="5"/>
        <v>0.84615384615384515</v>
      </c>
      <c r="B84" s="17">
        <f t="shared" si="3"/>
        <v>9.3050647573604497E-2</v>
      </c>
      <c r="C84" s="17">
        <f t="shared" si="4"/>
        <v>3.0000000000000002E-2</v>
      </c>
    </row>
    <row r="85" spans="1:3">
      <c r="A85" s="17">
        <f t="shared" si="5"/>
        <v>0.92307692307692202</v>
      </c>
      <c r="B85" s="17">
        <f t="shared" si="3"/>
        <v>0.10150979735302308</v>
      </c>
      <c r="C85" s="17">
        <f t="shared" si="4"/>
        <v>3.0000000000000002E-2</v>
      </c>
    </row>
    <row r="86" spans="1:3">
      <c r="A86" s="17">
        <f t="shared" si="5"/>
        <v>0.99999999999999889</v>
      </c>
      <c r="B86" s="17">
        <f t="shared" si="3"/>
        <v>0.10996894713244168</v>
      </c>
      <c r="C86" s="17">
        <f t="shared" si="4"/>
        <v>3.0000000000000002E-2</v>
      </c>
    </row>
    <row r="87" spans="1:3">
      <c r="A87" s="17">
        <f t="shared" si="5"/>
        <v>1.0769230769230758</v>
      </c>
      <c r="B87" s="17">
        <f t="shared" si="3"/>
        <v>0.11842809691186028</v>
      </c>
      <c r="C87" s="17">
        <f t="shared" si="4"/>
        <v>3.0000000000000002E-2</v>
      </c>
    </row>
    <row r="88" spans="1:3">
      <c r="A88" s="17">
        <f t="shared" si="5"/>
        <v>1.1538461538461526</v>
      </c>
      <c r="B88" s="17">
        <f t="shared" si="3"/>
        <v>0.12688724669127888</v>
      </c>
      <c r="C88" s="17">
        <f t="shared" si="4"/>
        <v>3.0000000000000002E-2</v>
      </c>
    </row>
    <row r="89" spans="1:3">
      <c r="A89" s="17">
        <f t="shared" si="5"/>
        <v>1.2307692307692295</v>
      </c>
      <c r="B89" s="17">
        <f t="shared" si="3"/>
        <v>0.13534639647069746</v>
      </c>
      <c r="C89" s="17">
        <f t="shared" si="4"/>
        <v>3.0000000000000002E-2</v>
      </c>
    </row>
    <row r="90" spans="1:3">
      <c r="A90" s="17">
        <f t="shared" si="5"/>
        <v>1.3076923076923064</v>
      </c>
      <c r="B90" s="17">
        <f t="shared" si="3"/>
        <v>0.14380554625011607</v>
      </c>
      <c r="C90" s="17">
        <f t="shared" si="4"/>
        <v>3.0000000000000002E-2</v>
      </c>
    </row>
    <row r="91" spans="1:3">
      <c r="A91" s="17">
        <f t="shared" si="5"/>
        <v>1.3846153846153832</v>
      </c>
      <c r="B91" s="17">
        <f t="shared" si="3"/>
        <v>0.15226469602953466</v>
      </c>
      <c r="C91" s="17">
        <f t="shared" si="4"/>
        <v>3.0000000000000002E-2</v>
      </c>
    </row>
    <row r="92" spans="1:3">
      <c r="A92" s="17">
        <f t="shared" si="5"/>
        <v>1.4615384615384601</v>
      </c>
      <c r="B92" s="17">
        <f t="shared" si="3"/>
        <v>0.16072384580895324</v>
      </c>
      <c r="C92" s="17">
        <f t="shared" si="4"/>
        <v>3.0000000000000002E-2</v>
      </c>
    </row>
    <row r="93" spans="1:3">
      <c r="A93" s="17">
        <f t="shared" si="5"/>
        <v>1.538461538461537</v>
      </c>
      <c r="B93" s="17">
        <f t="shared" si="3"/>
        <v>0.16918299558837185</v>
      </c>
      <c r="C93" s="17">
        <f t="shared" si="4"/>
        <v>3.0000000000000006E-2</v>
      </c>
    </row>
    <row r="94" spans="1:3">
      <c r="A94" s="17">
        <f t="shared" si="5"/>
        <v>1.6153846153846139</v>
      </c>
      <c r="B94" s="17">
        <f t="shared" si="3"/>
        <v>0.17764214536779044</v>
      </c>
      <c r="C94" s="17">
        <f t="shared" si="4"/>
        <v>3.0000000000000006E-2</v>
      </c>
    </row>
    <row r="95" spans="1:3">
      <c r="A95" s="17">
        <f t="shared" si="5"/>
        <v>1.6923076923076907</v>
      </c>
      <c r="B95" s="17">
        <f t="shared" si="3"/>
        <v>0.18610129514720902</v>
      </c>
      <c r="C95" s="17">
        <f t="shared" si="4"/>
        <v>3.0000000000000006E-2</v>
      </c>
    </row>
    <row r="96" spans="1:3">
      <c r="A96" s="17">
        <f t="shared" si="5"/>
        <v>1.7692307692307676</v>
      </c>
      <c r="B96" s="17">
        <f t="shared" si="3"/>
        <v>0.19456044492662763</v>
      </c>
      <c r="C96" s="17">
        <f t="shared" si="4"/>
        <v>3.0000000000000006E-2</v>
      </c>
    </row>
    <row r="97" spans="1:39">
      <c r="A97" s="17">
        <f t="shared" si="5"/>
        <v>1.8461538461538445</v>
      </c>
      <c r="B97" s="17">
        <f t="shared" si="3"/>
        <v>0.20301959470604622</v>
      </c>
      <c r="C97" s="17">
        <f t="shared" si="4"/>
        <v>3.0000000000000006E-2</v>
      </c>
    </row>
    <row r="98" spans="1:39">
      <c r="A98" s="17">
        <f t="shared" si="5"/>
        <v>1.9230769230769214</v>
      </c>
      <c r="B98" s="17">
        <f t="shared" si="3"/>
        <v>0.21147874448546483</v>
      </c>
      <c r="C98" s="17">
        <f t="shared" si="4"/>
        <v>3.0000000000000006E-2</v>
      </c>
    </row>
    <row r="99" spans="1:39">
      <c r="A99" s="17">
        <f t="shared" si="5"/>
        <v>1.9999999999999982</v>
      </c>
      <c r="B99" s="17">
        <f t="shared" si="3"/>
        <v>0.21993789426488342</v>
      </c>
      <c r="C99" s="17">
        <f t="shared" si="4"/>
        <v>3.0000000000000006E-2</v>
      </c>
    </row>
    <row r="102" spans="1:39" ht="18.75">
      <c r="A102" s="31" t="s">
        <v>47</v>
      </c>
      <c r="U102" s="26" t="s">
        <v>48</v>
      </c>
      <c r="V102" s="32" t="s">
        <v>49</v>
      </c>
    </row>
    <row r="103" spans="1:39">
      <c r="V103" s="27" t="s">
        <v>1</v>
      </c>
      <c r="W103" s="27" t="s">
        <v>2</v>
      </c>
      <c r="X103" s="27" t="s">
        <v>3</v>
      </c>
      <c r="Y103" s="27" t="s">
        <v>4</v>
      </c>
      <c r="Z103" s="27" t="s">
        <v>5</v>
      </c>
      <c r="AA103" s="27" t="s">
        <v>6</v>
      </c>
      <c r="AB103" s="27" t="s">
        <v>7</v>
      </c>
      <c r="AC103" s="27" t="s">
        <v>8</v>
      </c>
      <c r="AD103" s="27" t="s">
        <v>9</v>
      </c>
      <c r="AE103" s="27" t="s">
        <v>10</v>
      </c>
      <c r="AF103" s="27" t="s">
        <v>11</v>
      </c>
      <c r="AG103" s="27" t="s">
        <v>12</v>
      </c>
      <c r="AH103" s="27" t="s">
        <v>13</v>
      </c>
      <c r="AI103" s="27" t="s">
        <v>14</v>
      </c>
      <c r="AJ103" s="27" t="s">
        <v>15</v>
      </c>
      <c r="AK103" s="27" t="s">
        <v>16</v>
      </c>
      <c r="AL103" s="27" t="s">
        <v>17</v>
      </c>
      <c r="AM103" s="27" t="s">
        <v>18</v>
      </c>
    </row>
    <row r="104" spans="1:39">
      <c r="A104" s="24" t="s">
        <v>50</v>
      </c>
      <c r="U104" s="24" t="s">
        <v>1</v>
      </c>
      <c r="V104" s="29">
        <f>SUMPRODUCT($B$111:$B$407,B$111:B$407)/297</f>
        <v>1</v>
      </c>
      <c r="W104" s="29">
        <f t="shared" ref="W104:AM104" si="6">SUMPRODUCT($B$111:$B$407,C$111:C$407)/297</f>
        <v>0.69885943329281641</v>
      </c>
      <c r="X104" s="29">
        <f t="shared" si="6"/>
        <v>0.6184846615851417</v>
      </c>
      <c r="Y104" s="29">
        <f t="shared" si="6"/>
        <v>0.70377997727852559</v>
      </c>
      <c r="Z104" s="29">
        <f t="shared" si="6"/>
        <v>0.55601116844634413</v>
      </c>
      <c r="AA104" s="29">
        <f t="shared" si="6"/>
        <v>0.47239472499234192</v>
      </c>
      <c r="AB104" s="29">
        <f t="shared" si="6"/>
        <v>0.43802227094046298</v>
      </c>
      <c r="AC104" s="29">
        <f t="shared" si="6"/>
        <v>0.15557375319178263</v>
      </c>
      <c r="AD104" s="29">
        <f t="shared" si="6"/>
        <v>0.50881748803934712</v>
      </c>
      <c r="AE104" s="29">
        <f t="shared" si="6"/>
        <v>0.2445712550890938</v>
      </c>
      <c r="AF104" s="29">
        <f t="shared" si="6"/>
        <v>0.6338554207571252</v>
      </c>
      <c r="AG104" s="29">
        <f t="shared" si="6"/>
        <v>0.32775965639073901</v>
      </c>
      <c r="AH104" s="29">
        <f t="shared" si="6"/>
        <v>0.61089967475310436</v>
      </c>
      <c r="AI104" s="29">
        <f t="shared" si="6"/>
        <v>0.52934874091075779</v>
      </c>
      <c r="AJ104" s="29">
        <f t="shared" si="6"/>
        <v>0.2006436683593171</v>
      </c>
      <c r="AK104" s="29">
        <f t="shared" si="6"/>
        <v>0.14173585469583935</v>
      </c>
      <c r="AL104" s="29">
        <f t="shared" si="6"/>
        <v>0.26595783607301804</v>
      </c>
      <c r="AM104" s="29">
        <f t="shared" si="6"/>
        <v>0.29100775271869372</v>
      </c>
    </row>
    <row r="105" spans="1:39">
      <c r="B105" s="27" t="s">
        <v>1</v>
      </c>
      <c r="C105" s="27" t="s">
        <v>2</v>
      </c>
      <c r="D105" s="27" t="s">
        <v>3</v>
      </c>
      <c r="E105" s="27" t="s">
        <v>4</v>
      </c>
      <c r="F105" s="27" t="s">
        <v>5</v>
      </c>
      <c r="G105" s="27" t="s">
        <v>6</v>
      </c>
      <c r="H105" s="27" t="s">
        <v>7</v>
      </c>
      <c r="I105" s="27" t="s">
        <v>8</v>
      </c>
      <c r="J105" s="27" t="s">
        <v>9</v>
      </c>
      <c r="K105" s="27" t="s">
        <v>10</v>
      </c>
      <c r="L105" s="27" t="s">
        <v>11</v>
      </c>
      <c r="M105" s="27" t="s">
        <v>12</v>
      </c>
      <c r="N105" s="27" t="s">
        <v>13</v>
      </c>
      <c r="O105" s="27" t="s">
        <v>14</v>
      </c>
      <c r="P105" s="27" t="s">
        <v>15</v>
      </c>
      <c r="Q105" s="27" t="s">
        <v>16</v>
      </c>
      <c r="R105" s="27" t="s">
        <v>17</v>
      </c>
      <c r="S105" s="27" t="s">
        <v>18</v>
      </c>
      <c r="U105" s="24" t="s">
        <v>2</v>
      </c>
      <c r="V105" s="17">
        <f>SUMPRODUCT($C$111:$C$407,B$111:B$407)/297</f>
        <v>0.69885943329281641</v>
      </c>
      <c r="W105" s="29">
        <f t="shared" ref="W105:AM105" si="7">SUMPRODUCT($C$111:$C$407,C$111:C$407)/297</f>
        <v>1.0000000000000004</v>
      </c>
      <c r="X105" s="17">
        <f t="shared" si="7"/>
        <v>0.73788117954316579</v>
      </c>
      <c r="Y105" s="17">
        <f t="shared" si="7"/>
        <v>0.80843604513432343</v>
      </c>
      <c r="Z105" s="17">
        <f t="shared" si="7"/>
        <v>0.57846101504039626</v>
      </c>
      <c r="AA105" s="17">
        <f t="shared" si="7"/>
        <v>0.41325993184192122</v>
      </c>
      <c r="AB105" s="17">
        <f t="shared" si="7"/>
        <v>0.40811767487961664</v>
      </c>
      <c r="AC105" s="17">
        <f t="shared" si="7"/>
        <v>0.16878145878067752</v>
      </c>
      <c r="AD105" s="17">
        <f t="shared" si="7"/>
        <v>0.43360481637842835</v>
      </c>
      <c r="AE105" s="17">
        <f t="shared" si="7"/>
        <v>0.33532793654535586</v>
      </c>
      <c r="AF105" s="17">
        <f t="shared" si="7"/>
        <v>0.55309464503391492</v>
      </c>
      <c r="AG105" s="17">
        <f t="shared" si="7"/>
        <v>0.39083827979880448</v>
      </c>
      <c r="AH105" s="17">
        <f t="shared" si="7"/>
        <v>0.75539724598837243</v>
      </c>
      <c r="AI105" s="17">
        <f t="shared" si="7"/>
        <v>0.57301442770039623</v>
      </c>
      <c r="AJ105" s="17">
        <f t="shared" si="7"/>
        <v>0.22043757735521205</v>
      </c>
      <c r="AK105" s="17">
        <f t="shared" si="7"/>
        <v>0.16076525756764148</v>
      </c>
      <c r="AL105" s="17">
        <f t="shared" si="7"/>
        <v>0.3014061521841967</v>
      </c>
      <c r="AM105" s="17">
        <f t="shared" si="7"/>
        <v>0.31126633454168096</v>
      </c>
    </row>
    <row r="106" spans="1:39">
      <c r="A106" t="s">
        <v>51</v>
      </c>
      <c r="B106" s="28">
        <f>AVERAGE('Q1'!W2:W298)</f>
        <v>8.1404367941017072E-3</v>
      </c>
      <c r="C106" s="28">
        <f>AVERAGE('Q1'!X2:X298)</f>
        <v>1.0235417999201855E-2</v>
      </c>
      <c r="D106" s="28">
        <f>AVERAGE('Q1'!Y2:Y298)</f>
        <v>1.0879499511561664E-2</v>
      </c>
      <c r="E106" s="28">
        <f>AVERAGE('Q1'!Z2:Z298)</f>
        <v>2.8186273189131318E-3</v>
      </c>
      <c r="F106" s="28">
        <f>AVERAGE('Q1'!AA2:AA298)</f>
        <v>1.1923514264433412E-2</v>
      </c>
      <c r="G106" s="28">
        <f>AVERAGE('Q1'!AB2:AB298)</f>
        <v>9.5405044133322903E-3</v>
      </c>
      <c r="H106" s="28">
        <f>AVERAGE('Q1'!AC2:AC298)</f>
        <v>1.4917874930993719E-2</v>
      </c>
      <c r="I106" s="28">
        <f>AVERAGE('Q1'!AD2:AD298)</f>
        <v>7.5661844251358572E-3</v>
      </c>
      <c r="J106" s="28">
        <f>AVERAGE('Q1'!AE2:AE298)</f>
        <v>1.0087988008745035E-2</v>
      </c>
      <c r="K106" s="28">
        <f>AVERAGE('Q1'!AF2:AF298)</f>
        <v>4.095588806760456E-3</v>
      </c>
      <c r="L106" s="28">
        <f>AVERAGE('Q1'!AG2:AG298)</f>
        <v>1.0698146750959786E-2</v>
      </c>
      <c r="M106" s="28">
        <f>AVERAGE('Q1'!AH2:AH298)</f>
        <v>6.6574580809373972E-3</v>
      </c>
      <c r="N106" s="28">
        <f>AVERAGE('Q1'!AI2:AI298)</f>
        <v>9.77311641856996E-3</v>
      </c>
      <c r="O106" s="28">
        <f>AVERAGE('Q1'!AJ2:AJ298)</f>
        <v>1.0577570184338893E-2</v>
      </c>
      <c r="P106" s="28">
        <f>AVERAGE('Q1'!AK2:AK298)</f>
        <v>2.577740414736901E-2</v>
      </c>
      <c r="Q106" s="28">
        <f>AVERAGE('Q1'!AL2:AL298)</f>
        <v>2.1801029049509001E-2</v>
      </c>
      <c r="R106" s="28">
        <f>AVERAGE('Q1'!AM2:AM298)</f>
        <v>1.1988606407034776E-2</v>
      </c>
      <c r="S106" s="28">
        <f>AVERAGE('Q1'!AN2:AN298)</f>
        <v>6.8788895764259729E-3</v>
      </c>
      <c r="T106" s="33" t="s">
        <v>52</v>
      </c>
      <c r="U106" s="24" t="s">
        <v>3</v>
      </c>
      <c r="V106" s="17">
        <f>SUMPRODUCT($D$111:$D$407,B$111:B$407)/297</f>
        <v>0.6184846615851417</v>
      </c>
      <c r="W106" s="17">
        <f t="shared" ref="W106:AM106" si="8">SUMPRODUCT($D$111:$D$407,C$111:C$407)/297</f>
        <v>0.73788117954316579</v>
      </c>
      <c r="X106" s="29">
        <f t="shared" si="8"/>
        <v>0.99999999999999967</v>
      </c>
      <c r="Y106" s="17">
        <f t="shared" si="8"/>
        <v>0.70416663952270342</v>
      </c>
      <c r="Z106" s="17">
        <f t="shared" si="8"/>
        <v>0.54903161349612972</v>
      </c>
      <c r="AA106" s="17">
        <f t="shared" si="8"/>
        <v>0.48087061323755198</v>
      </c>
      <c r="AB106" s="17">
        <f t="shared" si="8"/>
        <v>0.39958745248054295</v>
      </c>
      <c r="AC106" s="17">
        <f t="shared" si="8"/>
        <v>0.13564870893232961</v>
      </c>
      <c r="AD106" s="17">
        <f t="shared" si="8"/>
        <v>0.48267547825088403</v>
      </c>
      <c r="AE106" s="17">
        <f t="shared" si="8"/>
        <v>0.31710183944492071</v>
      </c>
      <c r="AF106" s="17">
        <f t="shared" si="8"/>
        <v>0.5708372084329999</v>
      </c>
      <c r="AG106" s="17">
        <f t="shared" si="8"/>
        <v>0.40855521964851466</v>
      </c>
      <c r="AH106" s="17">
        <f t="shared" si="8"/>
        <v>0.63625290682684721</v>
      </c>
      <c r="AI106" s="17">
        <f t="shared" si="8"/>
        <v>0.62570082498292467</v>
      </c>
      <c r="AJ106" s="17">
        <f t="shared" si="8"/>
        <v>0.28925412358420866</v>
      </c>
      <c r="AK106" s="17">
        <f t="shared" si="8"/>
        <v>0.25987354640985993</v>
      </c>
      <c r="AL106" s="17">
        <f t="shared" si="8"/>
        <v>0.40094377380048118</v>
      </c>
      <c r="AM106" s="17">
        <f t="shared" si="8"/>
        <v>0.46325941969349144</v>
      </c>
    </row>
    <row r="107" spans="1:39">
      <c r="A107" t="s">
        <v>53</v>
      </c>
      <c r="B107" s="28">
        <f>STDEVP('Q1'!W2:W298)</f>
        <v>0.12189012105205412</v>
      </c>
      <c r="C107" s="28">
        <f>STDEVP('Q1'!X2:X298)</f>
        <v>0.11042036139094009</v>
      </c>
      <c r="D107" s="28">
        <f>STDEVP('Q1'!Y2:Y298)</f>
        <v>8.4877468589133906E-2</v>
      </c>
      <c r="E107" s="28">
        <f>STDEVP('Q1'!Z2:Z298)</f>
        <v>0.11639573061256156</v>
      </c>
      <c r="F107" s="28">
        <f>STDEVP('Q1'!AA2:AA298)</f>
        <v>7.046754589565328E-2</v>
      </c>
      <c r="G107" s="28">
        <f>STDEVP('Q1'!AB2:AB298)</f>
        <v>0.12822444618810003</v>
      </c>
      <c r="H107" s="28">
        <f>STDEVP('Q1'!AC2:AC298)</f>
        <v>8.2174350258462495E-2</v>
      </c>
      <c r="I107" s="28">
        <f>STDEVP('Q1'!AD2:AD298)</f>
        <v>5.0789699216518144E-2</v>
      </c>
      <c r="J107" s="28">
        <f>STDEVP('Q1'!AE2:AE298)</f>
        <v>8.4451952557526702E-2</v>
      </c>
      <c r="K107" s="28">
        <f>STDEVP('Q1'!AF2:AF298)</f>
        <v>6.0515866726533078E-2</v>
      </c>
      <c r="L107" s="28">
        <f>STDEVP('Q1'!AG2:AG298)</f>
        <v>9.0207944979659963E-2</v>
      </c>
      <c r="M107" s="28">
        <f>STDEVP('Q1'!AH2:AH298)</f>
        <v>0.10041824636553663</v>
      </c>
      <c r="N107" s="28">
        <f>STDEVP('Q1'!AI2:AI298)</f>
        <v>8.2939789439655659E-2</v>
      </c>
      <c r="O107" s="28">
        <f>STDEVP('Q1'!AJ2:AJ298)</f>
        <v>6.8260567158234892E-2</v>
      </c>
      <c r="P107" s="28">
        <f>STDEVP('Q1'!AK2:AK298)</f>
        <v>0.11058149095370345</v>
      </c>
      <c r="Q107" s="28">
        <f>STDEVP('Q1'!AL2:AL298)</f>
        <v>0.12789787234413291</v>
      </c>
      <c r="R107" s="28">
        <f>STDEVP('Q1'!AM2:AM298)</f>
        <v>8.0189204271095826E-2</v>
      </c>
      <c r="S107" s="28">
        <f>STDEVP('Q1'!AN2:AN298)</f>
        <v>7.193094070170844E-2</v>
      </c>
      <c r="T107" s="32" t="s">
        <v>54</v>
      </c>
      <c r="U107" s="24" t="s">
        <v>4</v>
      </c>
      <c r="V107" s="17">
        <f>SUMPRODUCT($E$111:$E$407,B$111:B$407)/297</f>
        <v>0.70377997727852559</v>
      </c>
      <c r="W107" s="17">
        <f t="shared" ref="W107:AM107" si="9">SUMPRODUCT($E$111:$E$407,C$111:C$407)/297</f>
        <v>0.80843604513432343</v>
      </c>
      <c r="X107" s="17">
        <f t="shared" si="9"/>
        <v>0.70416663952270342</v>
      </c>
      <c r="Y107" s="29">
        <f t="shared" si="9"/>
        <v>0.99999999999999978</v>
      </c>
      <c r="Z107" s="17">
        <f t="shared" si="9"/>
        <v>0.57196575919433856</v>
      </c>
      <c r="AA107" s="17">
        <f t="shared" si="9"/>
        <v>0.43657359217058128</v>
      </c>
      <c r="AB107" s="17">
        <f t="shared" si="9"/>
        <v>0.4380914415370849</v>
      </c>
      <c r="AC107" s="17">
        <f t="shared" si="9"/>
        <v>0.16370939267325349</v>
      </c>
      <c r="AD107" s="17">
        <f t="shared" si="9"/>
        <v>0.46344978769684742</v>
      </c>
      <c r="AE107" s="17">
        <f t="shared" si="9"/>
        <v>0.33657952683479736</v>
      </c>
      <c r="AF107" s="17">
        <f t="shared" si="9"/>
        <v>0.6158645796950164</v>
      </c>
      <c r="AG107" s="17">
        <f t="shared" si="9"/>
        <v>0.37647972664423279</v>
      </c>
      <c r="AH107" s="17">
        <f t="shared" si="9"/>
        <v>0.68478777608972052</v>
      </c>
      <c r="AI107" s="17">
        <f t="shared" si="9"/>
        <v>0.58443310458520892</v>
      </c>
      <c r="AJ107" s="17">
        <f t="shared" si="9"/>
        <v>0.26313151014204617</v>
      </c>
      <c r="AK107" s="17">
        <f t="shared" si="9"/>
        <v>0.21163419544465017</v>
      </c>
      <c r="AL107" s="17">
        <f t="shared" si="9"/>
        <v>0.37413800880123377</v>
      </c>
      <c r="AM107" s="17">
        <f t="shared" si="9"/>
        <v>0.39556090883713418</v>
      </c>
    </row>
    <row r="108" spans="1:39">
      <c r="U108" s="24" t="s">
        <v>5</v>
      </c>
      <c r="V108" s="17">
        <f>SUMPRODUCT($F$111:$F$407,B$111:B$407)/297</f>
        <v>0.55601116844634413</v>
      </c>
      <c r="W108" s="17">
        <f t="shared" ref="W108:AM108" si="10">SUMPRODUCT($F$111:$F$407,C$111:C$407)/297</f>
        <v>0.57846101504039626</v>
      </c>
      <c r="X108" s="17">
        <f t="shared" si="10"/>
        <v>0.54903161349612972</v>
      </c>
      <c r="Y108" s="17">
        <f t="shared" si="10"/>
        <v>0.57196575919433856</v>
      </c>
      <c r="Z108" s="29">
        <f t="shared" si="10"/>
        <v>1</v>
      </c>
      <c r="AA108" s="17">
        <f t="shared" si="10"/>
        <v>0.46986036562902395</v>
      </c>
      <c r="AB108" s="17">
        <f t="shared" si="10"/>
        <v>0.48209079668258342</v>
      </c>
      <c r="AC108" s="17">
        <f t="shared" si="10"/>
        <v>0.17419170066511683</v>
      </c>
      <c r="AD108" s="17">
        <f t="shared" si="10"/>
        <v>0.48519249089942729</v>
      </c>
      <c r="AE108" s="17">
        <f t="shared" si="10"/>
        <v>0.28592904218634374</v>
      </c>
      <c r="AF108" s="17">
        <f t="shared" si="10"/>
        <v>0.61378079214224801</v>
      </c>
      <c r="AG108" s="17">
        <f t="shared" si="10"/>
        <v>0.35216272776467045</v>
      </c>
      <c r="AH108" s="17">
        <f t="shared" si="10"/>
        <v>0.60618813325464316</v>
      </c>
      <c r="AI108" s="17">
        <f t="shared" si="10"/>
        <v>0.75367128320095877</v>
      </c>
      <c r="AJ108" s="17">
        <f t="shared" si="10"/>
        <v>0.23179993561073067</v>
      </c>
      <c r="AK108" s="17">
        <f t="shared" si="10"/>
        <v>0.14889690098769495</v>
      </c>
      <c r="AL108" s="17">
        <f t="shared" si="10"/>
        <v>0.24653395526963534</v>
      </c>
      <c r="AM108" s="17">
        <f t="shared" si="10"/>
        <v>0.34385715011996976</v>
      </c>
    </row>
    <row r="109" spans="1:39">
      <c r="A109" s="24" t="s">
        <v>55</v>
      </c>
      <c r="U109" s="24" t="s">
        <v>6</v>
      </c>
      <c r="V109" s="17">
        <f>SUMPRODUCT($G$111:$G$407,B$111:B$407)/297</f>
        <v>0.47239472499234192</v>
      </c>
      <c r="W109" s="17">
        <f t="shared" ref="W109:AM109" si="11">SUMPRODUCT($G$111:$G$407,C$111:C$407)/297</f>
        <v>0.41325993184192122</v>
      </c>
      <c r="X109" s="17">
        <f t="shared" si="11"/>
        <v>0.48087061323755198</v>
      </c>
      <c r="Y109" s="17">
        <f t="shared" si="11"/>
        <v>0.43657359217058128</v>
      </c>
      <c r="Z109" s="17">
        <f t="shared" si="11"/>
        <v>0.46986036562902395</v>
      </c>
      <c r="AA109" s="29">
        <f t="shared" si="11"/>
        <v>0.999999999999999</v>
      </c>
      <c r="AB109" s="17">
        <f t="shared" si="11"/>
        <v>0.40258754660502138</v>
      </c>
      <c r="AC109" s="17">
        <f t="shared" si="11"/>
        <v>0.11527613578397775</v>
      </c>
      <c r="AD109" s="17">
        <f t="shared" si="11"/>
        <v>0.4563067480806216</v>
      </c>
      <c r="AE109" s="17">
        <f t="shared" si="11"/>
        <v>0.22453431792242193</v>
      </c>
      <c r="AF109" s="17">
        <f t="shared" si="11"/>
        <v>0.47554142405216993</v>
      </c>
      <c r="AG109" s="17">
        <f t="shared" si="11"/>
        <v>0.27630665999155796</v>
      </c>
      <c r="AH109" s="17">
        <f t="shared" si="11"/>
        <v>0.44035682289263078</v>
      </c>
      <c r="AI109" s="17">
        <f t="shared" si="11"/>
        <v>0.46345495197544057</v>
      </c>
      <c r="AJ109" s="17">
        <f t="shared" si="11"/>
        <v>0.24889904646025091</v>
      </c>
      <c r="AK109" s="17">
        <f t="shared" si="11"/>
        <v>0.22331067967131507</v>
      </c>
      <c r="AL109" s="17">
        <f t="shared" si="11"/>
        <v>0.29232964314839144</v>
      </c>
      <c r="AM109" s="17">
        <f t="shared" si="11"/>
        <v>0.29198332873236355</v>
      </c>
    </row>
    <row r="110" spans="1:39">
      <c r="B110" s="27" t="s">
        <v>1</v>
      </c>
      <c r="C110" s="27" t="s">
        <v>2</v>
      </c>
      <c r="D110" s="27" t="s">
        <v>3</v>
      </c>
      <c r="E110" s="27" t="s">
        <v>4</v>
      </c>
      <c r="F110" s="27" t="s">
        <v>5</v>
      </c>
      <c r="G110" s="27" t="s">
        <v>6</v>
      </c>
      <c r="H110" s="27" t="s">
        <v>7</v>
      </c>
      <c r="I110" s="27" t="s">
        <v>8</v>
      </c>
      <c r="J110" s="27" t="s">
        <v>9</v>
      </c>
      <c r="K110" s="27" t="s">
        <v>10</v>
      </c>
      <c r="L110" s="27" t="s">
        <v>11</v>
      </c>
      <c r="M110" s="27" t="s">
        <v>12</v>
      </c>
      <c r="N110" s="27" t="s">
        <v>13</v>
      </c>
      <c r="O110" s="27" t="s">
        <v>14</v>
      </c>
      <c r="P110" s="27" t="s">
        <v>15</v>
      </c>
      <c r="Q110" s="27" t="s">
        <v>16</v>
      </c>
      <c r="R110" s="27" t="s">
        <v>17</v>
      </c>
      <c r="S110" s="27" t="s">
        <v>18</v>
      </c>
      <c r="U110" s="24" t="s">
        <v>7</v>
      </c>
      <c r="V110" s="17">
        <f>SUMPRODUCT($H$111:$H$407,B$111:B$407)/297</f>
        <v>0.43802227094046298</v>
      </c>
      <c r="W110" s="17">
        <f t="shared" ref="W110:AM110" si="12">SUMPRODUCT($H$111:$H$407,C$111:C$407)/297</f>
        <v>0.40811767487961664</v>
      </c>
      <c r="X110" s="17">
        <f t="shared" si="12"/>
        <v>0.39958745248054295</v>
      </c>
      <c r="Y110" s="17">
        <f t="shared" si="12"/>
        <v>0.4380914415370849</v>
      </c>
      <c r="Z110" s="17">
        <f t="shared" si="12"/>
        <v>0.48209079668258342</v>
      </c>
      <c r="AA110" s="17">
        <f t="shared" si="12"/>
        <v>0.40258754660502138</v>
      </c>
      <c r="AB110" s="29">
        <f t="shared" si="12"/>
        <v>1.0000000000000007</v>
      </c>
      <c r="AC110" s="17">
        <f t="shared" si="12"/>
        <v>0.26405276592339155</v>
      </c>
      <c r="AD110" s="17">
        <f t="shared" si="12"/>
        <v>0.57083950316006782</v>
      </c>
      <c r="AE110" s="17">
        <f t="shared" si="12"/>
        <v>0.27394511938756805</v>
      </c>
      <c r="AF110" s="17">
        <f t="shared" si="12"/>
        <v>0.48694393319608886</v>
      </c>
      <c r="AG110" s="17">
        <f t="shared" si="12"/>
        <v>0.33304401137460754</v>
      </c>
      <c r="AH110" s="17">
        <f t="shared" si="12"/>
        <v>0.39192751317496338</v>
      </c>
      <c r="AI110" s="17">
        <f t="shared" si="12"/>
        <v>0.44069596900465086</v>
      </c>
      <c r="AJ110" s="17">
        <f t="shared" si="12"/>
        <v>0.20769835634487546</v>
      </c>
      <c r="AK110" s="17">
        <f t="shared" si="12"/>
        <v>0.24228414241320764</v>
      </c>
      <c r="AL110" s="17">
        <f t="shared" si="12"/>
        <v>0.21456985864914116</v>
      </c>
      <c r="AM110" s="17">
        <f t="shared" si="12"/>
        <v>0.28239022616896009</v>
      </c>
    </row>
    <row r="111" spans="1:39">
      <c r="B111" s="17">
        <f>('Q1'!W2-B$106)/B$107</f>
        <v>-2.4928528041542396E-2</v>
      </c>
      <c r="C111" s="17">
        <f>('Q1'!X2-C$106)/C$107</f>
        <v>-0.54842699635535896</v>
      </c>
      <c r="D111" s="17">
        <f>('Q1'!Y2-D$106)/D$107</f>
        <v>-0.21753674528803055</v>
      </c>
      <c r="E111" s="17">
        <f>('Q1'!Z2-E$106)/E$107</f>
        <v>-0.81552657837186837</v>
      </c>
      <c r="F111" s="17">
        <f>('Q1'!AA2-F$106)/F$107</f>
        <v>-1.3695623594872666</v>
      </c>
      <c r="G111" s="17">
        <f>('Q1'!AB2-G$106)/G$107</f>
        <v>-0.99948939933462433</v>
      </c>
      <c r="H111" s="17">
        <f>('Q1'!AC2-H$106)/H$107</f>
        <v>-2.3925443619368285</v>
      </c>
      <c r="I111" s="17">
        <f>('Q1'!AD2-I$106)/I$107</f>
        <v>-2.6711821717537458</v>
      </c>
      <c r="J111" s="17">
        <f>('Q1'!AE2-J$106)/J$107</f>
        <v>-1.1209344020680436</v>
      </c>
      <c r="K111" s="17">
        <f>('Q1'!AF2-K$106)/K$107</f>
        <v>-1.922763174692028</v>
      </c>
      <c r="L111" s="17">
        <f>('Q1'!AG2-L$106)/L$107</f>
        <v>-2.1615959756579395</v>
      </c>
      <c r="M111" s="17">
        <f>('Q1'!AH2-M$106)/M$107</f>
        <v>-0.81555095346268369</v>
      </c>
      <c r="N111" s="17">
        <f>('Q1'!AI2-N$106)/N$107</f>
        <v>-2.2089655148773479</v>
      </c>
      <c r="O111" s="17">
        <f>('Q1'!AJ2-O$106)/O$107</f>
        <v>-8.2426645246567537E-2</v>
      </c>
      <c r="P111" s="17">
        <f>('Q1'!AK2-P$106)/P$107</f>
        <v>0.71478181752628367</v>
      </c>
      <c r="Q111" s="17">
        <f>('Q1'!AL2-Q$106)/Q$107</f>
        <v>0.35180187666371615</v>
      </c>
      <c r="R111" s="17">
        <f>('Q1'!AM2-R$106)/R$107</f>
        <v>-1.232510444451107</v>
      </c>
      <c r="S111" s="17">
        <f>('Q1'!AN2-S$106)/S$107</f>
        <v>-1.2722056370464281</v>
      </c>
      <c r="U111" s="24" t="s">
        <v>8</v>
      </c>
      <c r="V111" s="17">
        <f>SUMPRODUCT($I$111:$I$407,B$111:B$407)/297</f>
        <v>0.15557375319178263</v>
      </c>
      <c r="W111" s="17">
        <f t="shared" ref="W111:AM111" si="13">SUMPRODUCT($I$111:$I$407,C$111:C$407)/297</f>
        <v>0.16878145878067752</v>
      </c>
      <c r="X111" s="17">
        <f t="shared" si="13"/>
        <v>0.13564870893232961</v>
      </c>
      <c r="Y111" s="17">
        <f t="shared" si="13"/>
        <v>0.16370939267325349</v>
      </c>
      <c r="Z111" s="17">
        <f t="shared" si="13"/>
        <v>0.17419170066511683</v>
      </c>
      <c r="AA111" s="17">
        <f t="shared" si="13"/>
        <v>0.11527613578397775</v>
      </c>
      <c r="AB111" s="17">
        <f t="shared" si="13"/>
        <v>0.26405276592339155</v>
      </c>
      <c r="AC111" s="29">
        <f t="shared" si="13"/>
        <v>1.0000000000000009</v>
      </c>
      <c r="AD111" s="17">
        <f t="shared" si="13"/>
        <v>0.21655292024299594</v>
      </c>
      <c r="AE111" s="17">
        <f t="shared" si="13"/>
        <v>0.23780694320409532</v>
      </c>
      <c r="AF111" s="17">
        <f t="shared" si="13"/>
        <v>0.22621159337066091</v>
      </c>
      <c r="AG111" s="17">
        <f t="shared" si="13"/>
        <v>0.17101754849977302</v>
      </c>
      <c r="AH111" s="17">
        <f t="shared" si="13"/>
        <v>0.17019864253770811</v>
      </c>
      <c r="AI111" s="17">
        <f t="shared" si="13"/>
        <v>0.21869292188305689</v>
      </c>
      <c r="AJ111" s="17">
        <f t="shared" si="13"/>
        <v>-3.3686649891024406E-2</v>
      </c>
      <c r="AK111" s="17">
        <f t="shared" si="13"/>
        <v>8.36949980935979E-2</v>
      </c>
      <c r="AL111" s="17">
        <f t="shared" si="13"/>
        <v>-1.3053638292154874E-2</v>
      </c>
      <c r="AM111" s="17">
        <f t="shared" si="13"/>
        <v>7.3261793586117091E-2</v>
      </c>
    </row>
    <row r="112" spans="1:39">
      <c r="B112" s="17">
        <f>('Q1'!W3-B$106)/B$107</f>
        <v>1.1028437984330353</v>
      </c>
      <c r="C112" s="17">
        <f>('Q1'!X3-C$106)/C$107</f>
        <v>1.1746933061379157</v>
      </c>
      <c r="D112" s="17">
        <f>('Q1'!Y3-D$106)/D$107</f>
        <v>0.99080200061810153</v>
      </c>
      <c r="E112" s="17">
        <f>('Q1'!Z3-E$106)/E$107</f>
        <v>1.3522838352858881</v>
      </c>
      <c r="F112" s="17">
        <f>('Q1'!AA3-F$106)/F$107</f>
        <v>2.2588621972108101</v>
      </c>
      <c r="G112" s="17">
        <f>('Q1'!AB3-G$106)/G$107</f>
        <v>1.1080386489862739</v>
      </c>
      <c r="H112" s="17">
        <f>('Q1'!AC3-H$106)/H$107</f>
        <v>0.58435321022351827</v>
      </c>
      <c r="I112" s="17">
        <f>('Q1'!AD3-I$106)/I$107</f>
        <v>-7.1227504182200798</v>
      </c>
      <c r="J112" s="17">
        <f>('Q1'!AE3-J$106)/J$107</f>
        <v>1.6180965315366136</v>
      </c>
      <c r="K112" s="17">
        <f>('Q1'!AF3-K$106)/K$107</f>
        <v>2.2626243544351641</v>
      </c>
      <c r="L112" s="17">
        <f>('Q1'!AG3-L$106)/L$107</f>
        <v>1.0999326216384697</v>
      </c>
      <c r="M112" s="17">
        <f>('Q1'!AH3-M$106)/M$107</f>
        <v>0.12258479247306692</v>
      </c>
      <c r="N112" s="17">
        <f>('Q1'!AI3-N$106)/N$107</f>
        <v>2.7668686681437626</v>
      </c>
      <c r="O112" s="17">
        <f>('Q1'!AJ3-O$106)/O$107</f>
        <v>0.60278070651634319</v>
      </c>
      <c r="P112" s="17">
        <f>('Q1'!AK3-P$106)/P$107</f>
        <v>1.4384383732815145</v>
      </c>
      <c r="Q112" s="17">
        <f>('Q1'!AL3-Q$106)/Q$107</f>
        <v>-0.38330785837952258</v>
      </c>
      <c r="R112" s="17">
        <f>('Q1'!AM3-R$106)/R$107</f>
        <v>2.2050654852598188</v>
      </c>
      <c r="S112" s="17">
        <f>('Q1'!AN3-S$106)/S$107</f>
        <v>2.0353042982183207</v>
      </c>
      <c r="U112" s="24" t="s">
        <v>9</v>
      </c>
      <c r="V112" s="17">
        <f>SUMPRODUCT($J$111:$J$407,B$111:B$407)/297</f>
        <v>0.50881748803934712</v>
      </c>
      <c r="W112" s="17">
        <f t="shared" ref="W112:AM112" si="14">SUMPRODUCT($J$111:$J$407,C$111:C$407)/297</f>
        <v>0.43360481637842835</v>
      </c>
      <c r="X112" s="17">
        <f t="shared" si="14"/>
        <v>0.48267547825088403</v>
      </c>
      <c r="Y112" s="17">
        <f t="shared" si="14"/>
        <v>0.46344978769684742</v>
      </c>
      <c r="Z112" s="17">
        <f t="shared" si="14"/>
        <v>0.48519249089942729</v>
      </c>
      <c r="AA112" s="17">
        <f t="shared" si="14"/>
        <v>0.4563067480806216</v>
      </c>
      <c r="AB112" s="17">
        <f t="shared" si="14"/>
        <v>0.57083950316006782</v>
      </c>
      <c r="AC112" s="17">
        <f t="shared" si="14"/>
        <v>0.21655292024299594</v>
      </c>
      <c r="AD112" s="29">
        <f t="shared" si="14"/>
        <v>1.0000000000000002</v>
      </c>
      <c r="AE112" s="17">
        <f t="shared" si="14"/>
        <v>0.28959324904232131</v>
      </c>
      <c r="AF112" s="17">
        <f t="shared" si="14"/>
        <v>0.5218287769356531</v>
      </c>
      <c r="AG112" s="17">
        <f t="shared" si="14"/>
        <v>0.36674575014750488</v>
      </c>
      <c r="AH112" s="17">
        <f t="shared" si="14"/>
        <v>0.39884906966268702</v>
      </c>
      <c r="AI112" s="17">
        <f t="shared" si="14"/>
        <v>0.48097019806104191</v>
      </c>
      <c r="AJ112" s="17">
        <f t="shared" si="14"/>
        <v>0.30723290818015453</v>
      </c>
      <c r="AK112" s="17">
        <f t="shared" si="14"/>
        <v>0.21178632973296557</v>
      </c>
      <c r="AL112" s="17">
        <f t="shared" si="14"/>
        <v>0.26812645092848419</v>
      </c>
      <c r="AM112" s="17">
        <f t="shared" si="14"/>
        <v>0.39951537339523685</v>
      </c>
    </row>
    <row r="113" spans="2:39">
      <c r="B113" s="17">
        <f>('Q1'!W4-B$106)/B$107</f>
        <v>-6.6785041509846974E-2</v>
      </c>
      <c r="C113" s="17">
        <f>('Q1'!X4-C$106)/C$107</f>
        <v>-0.59337772942666023</v>
      </c>
      <c r="D113" s="17">
        <f>('Q1'!Y4-D$106)/D$107</f>
        <v>-2.1635829664786801</v>
      </c>
      <c r="E113" s="17">
        <f>('Q1'!Z4-E$106)/E$107</f>
        <v>-0.14976296535582395</v>
      </c>
      <c r="F113" s="17">
        <f>('Q1'!AA4-F$106)/F$107</f>
        <v>0.46206663540986914</v>
      </c>
      <c r="G113" s="17">
        <f>('Q1'!AB4-G$106)/G$107</f>
        <v>-1.5972494523383136</v>
      </c>
      <c r="H113" s="17">
        <f>('Q1'!AC4-H$106)/H$107</f>
        <v>0.6566453909829425</v>
      </c>
      <c r="I113" s="17">
        <f>('Q1'!AD4-I$106)/I$107</f>
        <v>0.89185171744223357</v>
      </c>
      <c r="J113" s="17">
        <f>('Q1'!AE4-J$106)/J$107</f>
        <v>1.4110618140518691</v>
      </c>
      <c r="K113" s="17">
        <f>('Q1'!AF4-K$106)/K$107</f>
        <v>2.446320096606609</v>
      </c>
      <c r="L113" s="17">
        <f>('Q1'!AG4-L$106)/L$107</f>
        <v>-7.673151062720282E-2</v>
      </c>
      <c r="M113" s="17">
        <f>('Q1'!AH4-M$106)/M$107</f>
        <v>-0.4721616839463193</v>
      </c>
      <c r="N113" s="17">
        <f>('Q1'!AI4-N$106)/N$107</f>
        <v>-2.5364459565517788E-2</v>
      </c>
      <c r="O113" s="17">
        <f>('Q1'!AJ4-O$106)/O$107</f>
        <v>-2.0021893409485001</v>
      </c>
      <c r="P113" s="17">
        <f>('Q1'!AK4-P$106)/P$107</f>
        <v>-1.0154865372169108</v>
      </c>
      <c r="Q113" s="17">
        <f>('Q1'!AL4-Q$106)/Q$107</f>
        <v>-1.5489467929983942</v>
      </c>
      <c r="R113" s="17">
        <f>('Q1'!AM4-R$106)/R$107</f>
        <v>-4.4334892925341958</v>
      </c>
      <c r="S113" s="17">
        <f>('Q1'!AN4-S$106)/S$107</f>
        <v>-0.90304331199049526</v>
      </c>
      <c r="U113" s="24" t="s">
        <v>10</v>
      </c>
      <c r="V113" s="17">
        <f>SUMPRODUCT($K$111:$K$407,B$111:B$407)/297</f>
        <v>0.2445712550890938</v>
      </c>
      <c r="W113" s="17">
        <f t="shared" ref="W113:AM113" si="15">SUMPRODUCT($K$111:$K$407,C$111:C$407)/297</f>
        <v>0.33532793654535586</v>
      </c>
      <c r="X113" s="17">
        <f t="shared" si="15"/>
        <v>0.31710183944492071</v>
      </c>
      <c r="Y113" s="17">
        <f t="shared" si="15"/>
        <v>0.33657952683479736</v>
      </c>
      <c r="Z113" s="17">
        <f t="shared" si="15"/>
        <v>0.28592904218634374</v>
      </c>
      <c r="AA113" s="17">
        <f t="shared" si="15"/>
        <v>0.22453431792242193</v>
      </c>
      <c r="AB113" s="17">
        <f t="shared" si="15"/>
        <v>0.27394511938756805</v>
      </c>
      <c r="AC113" s="17">
        <f t="shared" si="15"/>
        <v>0.23780694320409532</v>
      </c>
      <c r="AD113" s="17">
        <f t="shared" si="15"/>
        <v>0.28959324904232131</v>
      </c>
      <c r="AE113" s="29">
        <f t="shared" si="15"/>
        <v>0.99999999999999922</v>
      </c>
      <c r="AF113" s="17">
        <f t="shared" si="15"/>
        <v>0.20240159873306116</v>
      </c>
      <c r="AG113" s="17">
        <f t="shared" si="15"/>
        <v>0.23115132388994644</v>
      </c>
      <c r="AH113" s="17">
        <f t="shared" si="15"/>
        <v>0.30437317723578139</v>
      </c>
      <c r="AI113" s="17">
        <f t="shared" si="15"/>
        <v>0.28207283542082706</v>
      </c>
      <c r="AJ113" s="17">
        <f t="shared" si="15"/>
        <v>7.0150698124409688E-2</v>
      </c>
      <c r="AK113" s="17">
        <f t="shared" si="15"/>
        <v>0.10153168639759957</v>
      </c>
      <c r="AL113" s="17">
        <f t="shared" si="15"/>
        <v>0.21052442824350884</v>
      </c>
      <c r="AM113" s="17">
        <f t="shared" si="15"/>
        <v>0.24911402871501889</v>
      </c>
    </row>
    <row r="114" spans="2:39">
      <c r="B114" s="17">
        <f>('Q1'!W5-B$106)/B$107</f>
        <v>-0.29053032770417325</v>
      </c>
      <c r="C114" s="17">
        <f>('Q1'!X5-C$106)/C$107</f>
        <v>1.0970971938661851</v>
      </c>
      <c r="D114" s="17">
        <f>('Q1'!Y5-D$106)/D$107</f>
        <v>0.35404058566836821</v>
      </c>
      <c r="E114" s="17">
        <f>('Q1'!Z5-E$106)/E$107</f>
        <v>0.46317581849128869</v>
      </c>
      <c r="F114" s="17">
        <f>('Q1'!AA5-F$106)/F$107</f>
        <v>1.3780166441747885</v>
      </c>
      <c r="G114" s="17">
        <f>('Q1'!AB5-G$106)/G$107</f>
        <v>0.95779262171900481</v>
      </c>
      <c r="H114" s="17">
        <f>('Q1'!AC5-H$106)/H$107</f>
        <v>0.17638464334249884</v>
      </c>
      <c r="I114" s="17">
        <f>('Q1'!AD5-I$106)/I$107</f>
        <v>2.1774203214035519</v>
      </c>
      <c r="J114" s="17">
        <f>('Q1'!AE5-J$106)/J$107</f>
        <v>-1.173097776698929</v>
      </c>
      <c r="K114" s="17">
        <f>('Q1'!AF5-K$106)/K$107</f>
        <v>0.86397094517714434</v>
      </c>
      <c r="L114" s="17">
        <f>('Q1'!AG5-L$106)/L$107</f>
        <v>0.82899140069389399</v>
      </c>
      <c r="M114" s="17">
        <f>('Q1'!AH5-M$106)/M$107</f>
        <v>-0.70097345143163203</v>
      </c>
      <c r="N114" s="17">
        <f>('Q1'!AI5-N$106)/N$107</f>
        <v>1.1117137138296509</v>
      </c>
      <c r="O114" s="17">
        <f>('Q1'!AJ5-O$106)/O$107</f>
        <v>0.7557083824274462</v>
      </c>
      <c r="P114" s="17">
        <f>('Q1'!AK5-P$106)/P$107</f>
        <v>-3.1533238761184217</v>
      </c>
      <c r="Q114" s="17">
        <f>('Q1'!AL5-Q$106)/Q$107</f>
        <v>-1.1444783076135541</v>
      </c>
      <c r="R114" s="17">
        <f>('Q1'!AM5-R$106)/R$107</f>
        <v>-1.4345497898940134</v>
      </c>
      <c r="S114" s="17">
        <f>('Q1'!AN5-S$106)/S$107</f>
        <v>-0.61774185379198221</v>
      </c>
      <c r="U114" s="24" t="s">
        <v>11</v>
      </c>
      <c r="V114" s="17">
        <f>SUMPRODUCT($L$111:$L$407,B$111:B$407)/297</f>
        <v>0.6338554207571252</v>
      </c>
      <c r="W114" s="17">
        <f t="shared" ref="W114:AM114" si="16">SUMPRODUCT($L$111:$L$407,C$111:C$407)/297</f>
        <v>0.55309464503391492</v>
      </c>
      <c r="X114" s="17">
        <f t="shared" si="16"/>
        <v>0.5708372084329999</v>
      </c>
      <c r="Y114" s="17">
        <f t="shared" si="16"/>
        <v>0.6158645796950164</v>
      </c>
      <c r="Z114" s="17">
        <f t="shared" si="16"/>
        <v>0.61378079214224801</v>
      </c>
      <c r="AA114" s="17">
        <f t="shared" si="16"/>
        <v>0.47554142405216993</v>
      </c>
      <c r="AB114" s="17">
        <f t="shared" si="16"/>
        <v>0.48694393319608886</v>
      </c>
      <c r="AC114" s="17">
        <f t="shared" si="16"/>
        <v>0.22621159337066091</v>
      </c>
      <c r="AD114" s="17">
        <f t="shared" si="16"/>
        <v>0.5218287769356531</v>
      </c>
      <c r="AE114" s="17">
        <f t="shared" si="16"/>
        <v>0.20240159873306116</v>
      </c>
      <c r="AF114" s="29">
        <f t="shared" si="16"/>
        <v>1.0000000000000011</v>
      </c>
      <c r="AG114" s="17">
        <f t="shared" si="16"/>
        <v>0.37852962981703026</v>
      </c>
      <c r="AH114" s="17">
        <f t="shared" si="16"/>
        <v>0.62115844764661055</v>
      </c>
      <c r="AI114" s="17">
        <f t="shared" si="16"/>
        <v>0.55608954818318779</v>
      </c>
      <c r="AJ114" s="17">
        <f t="shared" si="16"/>
        <v>0.28848242283495074</v>
      </c>
      <c r="AK114" s="17">
        <f t="shared" si="16"/>
        <v>0.2900108066705816</v>
      </c>
      <c r="AL114" s="17">
        <f t="shared" si="16"/>
        <v>0.30178579498023828</v>
      </c>
      <c r="AM114" s="17">
        <f t="shared" si="16"/>
        <v>0.35849415227048015</v>
      </c>
    </row>
    <row r="115" spans="2:39">
      <c r="B115" s="17">
        <f>('Q1'!W6-B$106)/B$107</f>
        <v>-0.6035040362301608</v>
      </c>
      <c r="C115" s="17">
        <f>('Q1'!X6-C$106)/C$107</f>
        <v>-2.0599724756022422</v>
      </c>
      <c r="D115" s="17">
        <f>('Q1'!Y6-D$106)/D$107</f>
        <v>-1.0105662945595304</v>
      </c>
      <c r="E115" s="17">
        <f>('Q1'!Z6-E$106)/E$107</f>
        <v>-0.29188729976364935</v>
      </c>
      <c r="F115" s="17">
        <f>('Q1'!AA6-F$106)/F$107</f>
        <v>0.73230431668220797</v>
      </c>
      <c r="G115" s="17">
        <f>('Q1'!AB6-G$106)/G$107</f>
        <v>-1.0365977797047738</v>
      </c>
      <c r="H115" s="17">
        <f>('Q1'!AC6-H$106)/H$107</f>
        <v>-1.5174147418492629</v>
      </c>
      <c r="I115" s="17">
        <f>('Q1'!AD6-I$106)/I$107</f>
        <v>-3.0357117940324843</v>
      </c>
      <c r="J115" s="17">
        <f>('Q1'!AE6-J$106)/J$107</f>
        <v>-1.4963229378456235</v>
      </c>
      <c r="K115" s="17">
        <f>('Q1'!AF6-K$106)/K$107</f>
        <v>1.2668599957051787</v>
      </c>
      <c r="L115" s="17">
        <f>('Q1'!AG6-L$106)/L$107</f>
        <v>-0.50350934137362302</v>
      </c>
      <c r="M115" s="17">
        <f>('Q1'!AH6-M$106)/M$107</f>
        <v>0.20671099680570015</v>
      </c>
      <c r="N115" s="17">
        <f>('Q1'!AI6-N$106)/N$107</f>
        <v>-1.7945752986444907</v>
      </c>
      <c r="O115" s="17">
        <f>('Q1'!AJ6-O$106)/O$107</f>
        <v>-0.30407005762192563</v>
      </c>
      <c r="P115" s="17">
        <f>('Q1'!AK6-P$106)/P$107</f>
        <v>2.0007607317062512</v>
      </c>
      <c r="Q115" s="17">
        <f>('Q1'!AL6-Q$106)/Q$107</f>
        <v>-2.1124976340226089</v>
      </c>
      <c r="R115" s="17">
        <f>('Q1'!AM6-R$106)/R$107</f>
        <v>3.3262921774114549</v>
      </c>
      <c r="S115" s="17">
        <f>('Q1'!AN6-S$106)/S$107</f>
        <v>0.21297441760140848</v>
      </c>
      <c r="U115" s="24" t="s">
        <v>12</v>
      </c>
      <c r="V115" s="17">
        <f>SUMPRODUCT($M$111:$M$407,B$111:B$407)/297</f>
        <v>0.32775965639073901</v>
      </c>
      <c r="W115" s="17">
        <f t="shared" ref="W115:AM115" si="17">SUMPRODUCT($M$111:$M$407,C$111:C$407)/297</f>
        <v>0.39083827979880448</v>
      </c>
      <c r="X115" s="17">
        <f t="shared" si="17"/>
        <v>0.40855521964851466</v>
      </c>
      <c r="Y115" s="17">
        <f t="shared" si="17"/>
        <v>0.37647972664423279</v>
      </c>
      <c r="Z115" s="17">
        <f t="shared" si="17"/>
        <v>0.35216272776467045</v>
      </c>
      <c r="AA115" s="17">
        <f t="shared" si="17"/>
        <v>0.27630665999155796</v>
      </c>
      <c r="AB115" s="17">
        <f t="shared" si="17"/>
        <v>0.33304401137460754</v>
      </c>
      <c r="AC115" s="17">
        <f t="shared" si="17"/>
        <v>0.17101754849977302</v>
      </c>
      <c r="AD115" s="17">
        <f t="shared" si="17"/>
        <v>0.36674575014750488</v>
      </c>
      <c r="AE115" s="17">
        <f t="shared" si="17"/>
        <v>0.23115132388994644</v>
      </c>
      <c r="AF115" s="17">
        <f t="shared" si="17"/>
        <v>0.37852962981703026</v>
      </c>
      <c r="AG115" s="29">
        <f t="shared" si="17"/>
        <v>0.99999999999999922</v>
      </c>
      <c r="AH115" s="17">
        <f t="shared" si="17"/>
        <v>0.36066481034704084</v>
      </c>
      <c r="AI115" s="17">
        <f t="shared" si="17"/>
        <v>0.37267261548321162</v>
      </c>
      <c r="AJ115" s="17">
        <f t="shared" si="17"/>
        <v>0.17487358661363844</v>
      </c>
      <c r="AK115" s="17">
        <f t="shared" si="17"/>
        <v>0.16527605682114063</v>
      </c>
      <c r="AL115" s="17">
        <f t="shared" si="17"/>
        <v>0.25330033685772163</v>
      </c>
      <c r="AM115" s="17">
        <f t="shared" si="17"/>
        <v>0.20586363503786356</v>
      </c>
    </row>
    <row r="116" spans="2:39">
      <c r="B116" s="17">
        <f>('Q1'!W7-B$106)/B$107</f>
        <v>-0.81541232778827544</v>
      </c>
      <c r="C116" s="17">
        <f>('Q1'!X7-C$106)/C$107</f>
        <v>0.82873226831791369</v>
      </c>
      <c r="D116" s="17">
        <f>('Q1'!Y7-D$106)/D$107</f>
        <v>0.83098415793392943</v>
      </c>
      <c r="E116" s="17">
        <f>('Q1'!Z7-E$106)/E$107</f>
        <v>1.4373884452891639</v>
      </c>
      <c r="F116" s="17">
        <f>('Q1'!AA7-F$106)/F$107</f>
        <v>-6.5321920810862508E-2</v>
      </c>
      <c r="G116" s="17">
        <f>('Q1'!AB7-G$106)/G$107</f>
        <v>-2.3129576581149727</v>
      </c>
      <c r="H116" s="17">
        <f>('Q1'!AC7-H$106)/H$107</f>
        <v>0.40408469549350418</v>
      </c>
      <c r="I116" s="17">
        <f>('Q1'!AD7-I$106)/I$107</f>
        <v>-6.2235925280359317E-2</v>
      </c>
      <c r="J116" s="17">
        <f>('Q1'!AE7-J$106)/J$107</f>
        <v>1.203585365588036</v>
      </c>
      <c r="K116" s="17">
        <f>('Q1'!AF7-K$106)/K$107</f>
        <v>-1.6598937019156832</v>
      </c>
      <c r="L116" s="17">
        <f>('Q1'!AG7-L$106)/L$107</f>
        <v>0.85172036216825664</v>
      </c>
      <c r="M116" s="17">
        <f>('Q1'!AH7-M$106)/M$107</f>
        <v>0.35913939103476528</v>
      </c>
      <c r="N116" s="17">
        <f>('Q1'!AI7-N$106)/N$107</f>
        <v>0.73781521794366778</v>
      </c>
      <c r="O116" s="17">
        <f>('Q1'!AJ7-O$106)/O$107</f>
        <v>-0.27788331915973685</v>
      </c>
      <c r="P116" s="17">
        <f>('Q1'!AK7-P$106)/P$107</f>
        <v>-0.50289566132549901</v>
      </c>
      <c r="Q116" s="17">
        <f>('Q1'!AL7-Q$106)/Q$107</f>
        <v>-1.5027372599554867</v>
      </c>
      <c r="R116" s="17">
        <f>('Q1'!AM7-R$106)/R$107</f>
        <v>-1.7375455509882689</v>
      </c>
      <c r="S116" s="17">
        <f>('Q1'!AN7-S$106)/S$107</f>
        <v>0.24537921391843898</v>
      </c>
      <c r="U116" s="24" t="s">
        <v>13</v>
      </c>
      <c r="V116" s="17">
        <f>SUMPRODUCT($N$111:$N$407,B$111:B$407)/297</f>
        <v>0.61089967475310436</v>
      </c>
      <c r="W116" s="17">
        <f t="shared" ref="W116:AM116" si="18">SUMPRODUCT($N$111:$N$407,C$111:C$407)/297</f>
        <v>0.75539724598837243</v>
      </c>
      <c r="X116" s="17">
        <f t="shared" si="18"/>
        <v>0.63625290682684721</v>
      </c>
      <c r="Y116" s="17">
        <f t="shared" si="18"/>
        <v>0.68478777608972052</v>
      </c>
      <c r="Z116" s="17">
        <f t="shared" si="18"/>
        <v>0.60618813325464316</v>
      </c>
      <c r="AA116" s="17">
        <f t="shared" si="18"/>
        <v>0.44035682289263078</v>
      </c>
      <c r="AB116" s="17">
        <f t="shared" si="18"/>
        <v>0.39192751317496338</v>
      </c>
      <c r="AC116" s="17">
        <f t="shared" si="18"/>
        <v>0.17019864253770811</v>
      </c>
      <c r="AD116" s="17">
        <f t="shared" si="18"/>
        <v>0.39884906966268702</v>
      </c>
      <c r="AE116" s="17">
        <f t="shared" si="18"/>
        <v>0.30437317723578139</v>
      </c>
      <c r="AF116" s="17">
        <f t="shared" si="18"/>
        <v>0.62115844764661055</v>
      </c>
      <c r="AG116" s="17">
        <f t="shared" si="18"/>
        <v>0.36066481034704084</v>
      </c>
      <c r="AH116" s="29">
        <f t="shared" si="18"/>
        <v>1</v>
      </c>
      <c r="AI116" s="17">
        <f t="shared" si="18"/>
        <v>0.53892446091645196</v>
      </c>
      <c r="AJ116" s="17">
        <f t="shared" si="18"/>
        <v>7.0631896186018339E-2</v>
      </c>
      <c r="AK116" s="17">
        <f t="shared" si="18"/>
        <v>7.6323985851879009E-2</v>
      </c>
      <c r="AL116" s="17">
        <f t="shared" si="18"/>
        <v>0.15967679991372413</v>
      </c>
      <c r="AM116" s="17">
        <f t="shared" si="18"/>
        <v>0.19170989121777543</v>
      </c>
    </row>
    <row r="117" spans="2:39">
      <c r="B117" s="17">
        <f>('Q1'!W8-B$106)/B$107</f>
        <v>1.0278511903237153</v>
      </c>
      <c r="C117" s="17">
        <f>('Q1'!X8-C$106)/C$107</f>
        <v>1.0931093685267279</v>
      </c>
      <c r="D117" s="17">
        <f>('Q1'!Y8-D$106)/D$107</f>
        <v>1.398183520553911</v>
      </c>
      <c r="E117" s="17">
        <f>('Q1'!Z8-E$106)/E$107</f>
        <v>0.8719880924408554</v>
      </c>
      <c r="F117" s="17">
        <f>('Q1'!AA8-F$106)/F$107</f>
        <v>-0.7673708904130544</v>
      </c>
      <c r="G117" s="17">
        <f>('Q1'!AB8-G$106)/G$107</f>
        <v>1.0852921260781363</v>
      </c>
      <c r="H117" s="17">
        <f>('Q1'!AC8-H$106)/H$107</f>
        <v>-1.9566289958814871</v>
      </c>
      <c r="I117" s="17">
        <f>('Q1'!AD8-I$106)/I$107</f>
        <v>1.6478780068030658</v>
      </c>
      <c r="J117" s="17">
        <f>('Q1'!AE8-J$106)/J$107</f>
        <v>0.14195123402244858</v>
      </c>
      <c r="K117" s="17">
        <f>('Q1'!AF8-K$106)/K$107</f>
        <v>-0.15697660747642855</v>
      </c>
      <c r="L117" s="17">
        <f>('Q1'!AG8-L$106)/L$107</f>
        <v>0.35433891706028642</v>
      </c>
      <c r="M117" s="17">
        <f>('Q1'!AH8-M$106)/M$107</f>
        <v>-0.546078389566093</v>
      </c>
      <c r="N117" s="17">
        <f>('Q1'!AI8-N$106)/N$107</f>
        <v>0.37697710221313779</v>
      </c>
      <c r="O117" s="17">
        <f>('Q1'!AJ8-O$106)/O$107</f>
        <v>2.7212924911170022</v>
      </c>
      <c r="P117" s="17">
        <f>('Q1'!AK8-P$106)/P$107</f>
        <v>1.5688432379628405</v>
      </c>
      <c r="Q117" s="17">
        <f>('Q1'!AL8-Q$106)/Q$107</f>
        <v>2.7818471521482109</v>
      </c>
      <c r="R117" s="17">
        <f>('Q1'!AM8-R$106)/R$107</f>
        <v>-0.14950399515756344</v>
      </c>
      <c r="S117" s="17">
        <f>('Q1'!AN8-S$106)/S$107</f>
        <v>2.3523469467803895</v>
      </c>
      <c r="U117" s="24" t="s">
        <v>14</v>
      </c>
      <c r="V117" s="17">
        <f>SUMPRODUCT($O$111:$O$407,B$111:B$407)/297</f>
        <v>0.52934874091075779</v>
      </c>
      <c r="W117" s="17">
        <f t="shared" ref="W117:AM117" si="19">SUMPRODUCT($O$111:$O$407,C$111:C$407)/297</f>
        <v>0.57301442770039623</v>
      </c>
      <c r="X117" s="17">
        <f t="shared" si="19"/>
        <v>0.62570082498292467</v>
      </c>
      <c r="Y117" s="17">
        <f t="shared" si="19"/>
        <v>0.58443310458520892</v>
      </c>
      <c r="Z117" s="17">
        <f t="shared" si="19"/>
        <v>0.75367128320095877</v>
      </c>
      <c r="AA117" s="17">
        <f t="shared" si="19"/>
        <v>0.46345495197544057</v>
      </c>
      <c r="AB117" s="17">
        <f t="shared" si="19"/>
        <v>0.44069596900465086</v>
      </c>
      <c r="AC117" s="17">
        <f t="shared" si="19"/>
        <v>0.21869292188305689</v>
      </c>
      <c r="AD117" s="17">
        <f t="shared" si="19"/>
        <v>0.48097019806104191</v>
      </c>
      <c r="AE117" s="17">
        <f t="shared" si="19"/>
        <v>0.28207283542082706</v>
      </c>
      <c r="AF117" s="17">
        <f t="shared" si="19"/>
        <v>0.55608954818318779</v>
      </c>
      <c r="AG117" s="17">
        <f t="shared" si="19"/>
        <v>0.37267261548321162</v>
      </c>
      <c r="AH117" s="17">
        <f t="shared" si="19"/>
        <v>0.53892446091645196</v>
      </c>
      <c r="AI117" s="29">
        <f t="shared" si="19"/>
        <v>0.99999999999999967</v>
      </c>
      <c r="AJ117" s="17">
        <f t="shared" si="19"/>
        <v>0.33590457452608113</v>
      </c>
      <c r="AK117" s="17">
        <f t="shared" si="19"/>
        <v>0.25022799016649266</v>
      </c>
      <c r="AL117" s="17">
        <f t="shared" si="19"/>
        <v>0.27940650684046087</v>
      </c>
      <c r="AM117" s="17">
        <f t="shared" si="19"/>
        <v>0.43376813158925215</v>
      </c>
    </row>
    <row r="118" spans="2:39">
      <c r="B118" s="17">
        <f>('Q1'!W9-B$106)/B$107</f>
        <v>0.65422022510308375</v>
      </c>
      <c r="C118" s="17">
        <f>('Q1'!X9-C$106)/C$107</f>
        <v>-0.20819226320808196</v>
      </c>
      <c r="D118" s="17">
        <f>('Q1'!Y9-D$106)/D$107</f>
        <v>-2.1708715325397079</v>
      </c>
      <c r="E118" s="17">
        <f>('Q1'!Z9-E$106)/E$107</f>
        <v>-0.64014753434448912</v>
      </c>
      <c r="F118" s="17">
        <f>('Q1'!AA9-F$106)/F$107</f>
        <v>1.3937666327818534</v>
      </c>
      <c r="G118" s="17">
        <f>('Q1'!AB9-G$106)/G$107</f>
        <v>-0.50203890355409508</v>
      </c>
      <c r="H118" s="17">
        <f>('Q1'!AC9-H$106)/H$107</f>
        <v>-6.6083400363321498E-2</v>
      </c>
      <c r="I118" s="17">
        <f>('Q1'!AD9-I$106)/I$107</f>
        <v>1.4979839397144039</v>
      </c>
      <c r="J118" s="17">
        <f>('Q1'!AE9-J$106)/J$107</f>
        <v>-1.6694281133481721</v>
      </c>
      <c r="K118" s="17">
        <f>('Q1'!AF9-K$106)/K$107</f>
        <v>0.65156528992424845</v>
      </c>
      <c r="L118" s="17">
        <f>('Q1'!AG9-L$106)/L$107</f>
        <v>0.20718769804282974</v>
      </c>
      <c r="M118" s="17">
        <f>('Q1'!AH9-M$106)/M$107</f>
        <v>-9.3109759075240984E-3</v>
      </c>
      <c r="N118" s="17">
        <f>('Q1'!AI9-N$106)/N$107</f>
        <v>0.71410747578795675</v>
      </c>
      <c r="O118" s="17">
        <f>('Q1'!AJ9-O$106)/O$107</f>
        <v>0.32588690544379056</v>
      </c>
      <c r="P118" s="17">
        <f>('Q1'!AK9-P$106)/P$107</f>
        <v>-5.4549294640153985</v>
      </c>
      <c r="Q118" s="17">
        <f>('Q1'!AL9-Q$106)/Q$107</f>
        <v>-0.74744175192516982</v>
      </c>
      <c r="R118" s="17">
        <f>('Q1'!AM9-R$106)/R$107</f>
        <v>-1.8464752371784505</v>
      </c>
      <c r="S118" s="17">
        <f>('Q1'!AN9-S$106)/S$107</f>
        <v>-2.1243307296662444</v>
      </c>
      <c r="U118" s="24" t="s">
        <v>15</v>
      </c>
      <c r="V118" s="17">
        <f>SUMPRODUCT($P$111:$P$407,B$111:B$407)/297</f>
        <v>0.2006436683593171</v>
      </c>
      <c r="W118" s="17">
        <f t="shared" ref="W118:AM118" si="20">SUMPRODUCT($P$111:$P$407,C$111:C$407)/297</f>
        <v>0.22043757735521205</v>
      </c>
      <c r="X118" s="17">
        <f t="shared" si="20"/>
        <v>0.28925412358420866</v>
      </c>
      <c r="Y118" s="17">
        <f t="shared" si="20"/>
        <v>0.26313151014204617</v>
      </c>
      <c r="Z118" s="17">
        <f t="shared" si="20"/>
        <v>0.23179993561073067</v>
      </c>
      <c r="AA118" s="17">
        <f t="shared" si="20"/>
        <v>0.24889904646025091</v>
      </c>
      <c r="AB118" s="17">
        <f t="shared" si="20"/>
        <v>0.20769835634487546</v>
      </c>
      <c r="AC118" s="17">
        <f t="shared" si="20"/>
        <v>-3.3686649891024406E-2</v>
      </c>
      <c r="AD118" s="17">
        <f t="shared" si="20"/>
        <v>0.30723290818015453</v>
      </c>
      <c r="AE118" s="17">
        <f t="shared" si="20"/>
        <v>7.0150698124409688E-2</v>
      </c>
      <c r="AF118" s="17">
        <f t="shared" si="20"/>
        <v>0.28848242283495074</v>
      </c>
      <c r="AG118" s="17">
        <f t="shared" si="20"/>
        <v>0.17487358661363844</v>
      </c>
      <c r="AH118" s="17">
        <f t="shared" si="20"/>
        <v>7.0631896186018339E-2</v>
      </c>
      <c r="AI118" s="17">
        <f t="shared" si="20"/>
        <v>0.33590457452608113</v>
      </c>
      <c r="AJ118" s="29">
        <f t="shared" si="20"/>
        <v>0.99999999999999867</v>
      </c>
      <c r="AK118" s="17">
        <f t="shared" si="20"/>
        <v>0.41228964403875712</v>
      </c>
      <c r="AL118" s="17">
        <f t="shared" si="20"/>
        <v>0.47114615892229333</v>
      </c>
      <c r="AM118" s="17">
        <f t="shared" si="20"/>
        <v>0.41917227965998471</v>
      </c>
    </row>
    <row r="119" spans="2:39">
      <c r="B119" s="17">
        <f>('Q1'!W10-B$106)/B$107</f>
        <v>0.4943782801588697</v>
      </c>
      <c r="C119" s="17">
        <f>('Q1'!X10-C$106)/C$107</f>
        <v>-0.83837814391327203</v>
      </c>
      <c r="D119" s="17">
        <f>('Q1'!Y10-D$106)/D$107</f>
        <v>-0.30354667355126858</v>
      </c>
      <c r="E119" s="17">
        <f>('Q1'!Z10-E$106)/E$107</f>
        <v>-0.25265595411595665</v>
      </c>
      <c r="F119" s="17">
        <f>('Q1'!AA10-F$106)/F$107</f>
        <v>0.20372143722996244</v>
      </c>
      <c r="G119" s="17">
        <f>('Q1'!AB10-G$106)/G$107</f>
        <v>1.8473110427552388</v>
      </c>
      <c r="H119" s="17">
        <f>('Q1'!AC10-H$106)/H$107</f>
        <v>1.2159448706153977</v>
      </c>
      <c r="I119" s="17">
        <f>('Q1'!AD10-I$106)/I$107</f>
        <v>1.1550818401166922</v>
      </c>
      <c r="J119" s="17">
        <f>('Q1'!AE10-J$106)/J$107</f>
        <v>1.7096467581661765</v>
      </c>
      <c r="K119" s="17">
        <f>('Q1'!AF10-K$106)/K$107</f>
        <v>-0.70566212643506943</v>
      </c>
      <c r="L119" s="17">
        <f>('Q1'!AG10-L$106)/L$107</f>
        <v>-0.25545534021418875</v>
      </c>
      <c r="M119" s="17">
        <f>('Q1'!AH10-M$106)/M$107</f>
        <v>-0.71541190154703949</v>
      </c>
      <c r="N119" s="17">
        <f>('Q1'!AI10-N$106)/N$107</f>
        <v>-1.9415181497099296E-2</v>
      </c>
      <c r="O119" s="17">
        <f>('Q1'!AJ10-O$106)/O$107</f>
        <v>-0.99705228925826062</v>
      </c>
      <c r="P119" s="17">
        <f>('Q1'!AK10-P$106)/P$107</f>
        <v>-2.4060721395289377</v>
      </c>
      <c r="Q119" s="17">
        <f>('Q1'!AL10-Q$106)/Q$107</f>
        <v>-0.53914501727352426</v>
      </c>
      <c r="R119" s="17">
        <f>('Q1'!AM10-R$106)/R$107</f>
        <v>1.6209185040051419</v>
      </c>
      <c r="S119" s="17">
        <f>('Q1'!AN10-S$106)/S$107</f>
        <v>-1.839203204332716</v>
      </c>
      <c r="U119" s="24" t="s">
        <v>16</v>
      </c>
      <c r="V119" s="17">
        <f>SUMPRODUCT($Q$111:$Q$407,B$111:B$407)/297</f>
        <v>0.14173585469583935</v>
      </c>
      <c r="W119" s="17">
        <f t="shared" ref="W119:AM119" si="21">SUMPRODUCT($Q$111:$Q$407,C$111:C$407)/297</f>
        <v>0.16076525756764148</v>
      </c>
      <c r="X119" s="17">
        <f t="shared" si="21"/>
        <v>0.25987354640985993</v>
      </c>
      <c r="Y119" s="17">
        <f t="shared" si="21"/>
        <v>0.21163419544465017</v>
      </c>
      <c r="Z119" s="17">
        <f t="shared" si="21"/>
        <v>0.14889690098769495</v>
      </c>
      <c r="AA119" s="17">
        <f t="shared" si="21"/>
        <v>0.22331067967131507</v>
      </c>
      <c r="AB119" s="17">
        <f t="shared" si="21"/>
        <v>0.24228414241320764</v>
      </c>
      <c r="AC119" s="17">
        <f t="shared" si="21"/>
        <v>8.36949980935979E-2</v>
      </c>
      <c r="AD119" s="17">
        <f t="shared" si="21"/>
        <v>0.21178632973296557</v>
      </c>
      <c r="AE119" s="17">
        <f t="shared" si="21"/>
        <v>0.10153168639759957</v>
      </c>
      <c r="AF119" s="17">
        <f t="shared" si="21"/>
        <v>0.2900108066705816</v>
      </c>
      <c r="AG119" s="17">
        <f t="shared" si="21"/>
        <v>0.16527605682114063</v>
      </c>
      <c r="AH119" s="17">
        <f t="shared" si="21"/>
        <v>7.6323985851879009E-2</v>
      </c>
      <c r="AI119" s="17">
        <f t="shared" si="21"/>
        <v>0.25022799016649266</v>
      </c>
      <c r="AJ119" s="17">
        <f t="shared" si="21"/>
        <v>0.41228964403875712</v>
      </c>
      <c r="AK119" s="29">
        <f t="shared" si="21"/>
        <v>0.99999999999999867</v>
      </c>
      <c r="AL119" s="17">
        <f t="shared" si="21"/>
        <v>0.42716041154975332</v>
      </c>
      <c r="AM119" s="17">
        <f t="shared" si="21"/>
        <v>0.38177090004566161</v>
      </c>
    </row>
    <row r="120" spans="2:39">
      <c r="B120" s="17">
        <f>('Q1'!W11-B$106)/B$107</f>
        <v>-0.42273048329211033</v>
      </c>
      <c r="C120" s="17">
        <f>('Q1'!X11-C$106)/C$107</f>
        <v>-1.6236684677111022</v>
      </c>
      <c r="D120" s="17">
        <f>('Q1'!Y11-D$106)/D$107</f>
        <v>-2.2957139743552033</v>
      </c>
      <c r="E120" s="17">
        <f>('Q1'!Z11-E$106)/E$107</f>
        <v>-0.4833726671302177</v>
      </c>
      <c r="F120" s="17">
        <f>('Q1'!AA11-F$106)/F$107</f>
        <v>-0.11182161543188461</v>
      </c>
      <c r="G120" s="17">
        <f>('Q1'!AB11-G$106)/G$107</f>
        <v>-0.56837543905417465</v>
      </c>
      <c r="H120" s="17">
        <f>('Q1'!AC11-H$106)/H$107</f>
        <v>1.0994321862351017</v>
      </c>
      <c r="I120" s="17">
        <f>('Q1'!AD11-I$106)/I$107</f>
        <v>0.89742237531745417</v>
      </c>
      <c r="J120" s="17">
        <f>('Q1'!AE11-J$106)/J$107</f>
        <v>1.9526382268385527E-2</v>
      </c>
      <c r="K120" s="17">
        <f>('Q1'!AF11-K$106)/K$107</f>
        <v>0.36276904089856743</v>
      </c>
      <c r="L120" s="17">
        <f>('Q1'!AG11-L$106)/L$107</f>
        <v>-1.0407091574450178</v>
      </c>
      <c r="M120" s="17">
        <f>('Q1'!AH11-M$106)/M$107</f>
        <v>-0.45582133558347399</v>
      </c>
      <c r="N120" s="17">
        <f>('Q1'!AI11-N$106)/N$107</f>
        <v>0.17505443945531546</v>
      </c>
      <c r="O120" s="17">
        <f>('Q1'!AJ11-O$106)/O$107</f>
        <v>-1.0186682449960061</v>
      </c>
      <c r="P120" s="17">
        <f>('Q1'!AK11-P$106)/P$107</f>
        <v>-1.6488075769867618</v>
      </c>
      <c r="Q120" s="17">
        <f>('Q1'!AL11-Q$106)/Q$107</f>
        <v>-2.7188849136344673</v>
      </c>
      <c r="R120" s="17">
        <f>('Q1'!AM11-R$106)/R$107</f>
        <v>-2.231690889439689</v>
      </c>
      <c r="S120" s="17">
        <f>('Q1'!AN11-S$106)/S$107</f>
        <v>-0.80132773756162701</v>
      </c>
      <c r="U120" s="24" t="s">
        <v>17</v>
      </c>
      <c r="V120" s="17">
        <f>SUMPRODUCT($R$111:$R$407,B$111:B$407)/297</f>
        <v>0.26595783607301804</v>
      </c>
      <c r="W120" s="17">
        <f t="shared" ref="W120:AM120" si="22">SUMPRODUCT($R$111:$R$407,C$111:C$407)/297</f>
        <v>0.3014061521841967</v>
      </c>
      <c r="X120" s="17">
        <f t="shared" si="22"/>
        <v>0.40094377380048118</v>
      </c>
      <c r="Y120" s="17">
        <f t="shared" si="22"/>
        <v>0.37413800880123377</v>
      </c>
      <c r="Z120" s="17">
        <f t="shared" si="22"/>
        <v>0.24653395526963534</v>
      </c>
      <c r="AA120" s="17">
        <f t="shared" si="22"/>
        <v>0.29232964314839144</v>
      </c>
      <c r="AB120" s="17">
        <f t="shared" si="22"/>
        <v>0.21456985864914116</v>
      </c>
      <c r="AC120" s="17">
        <f t="shared" si="22"/>
        <v>-1.3053638292154874E-2</v>
      </c>
      <c r="AD120" s="17">
        <f t="shared" si="22"/>
        <v>0.26812645092848419</v>
      </c>
      <c r="AE120" s="17">
        <f t="shared" si="22"/>
        <v>0.21052442824350884</v>
      </c>
      <c r="AF120" s="17">
        <f t="shared" si="22"/>
        <v>0.30178579498023828</v>
      </c>
      <c r="AG120" s="17">
        <f t="shared" si="22"/>
        <v>0.25330033685772163</v>
      </c>
      <c r="AH120" s="17">
        <f t="shared" si="22"/>
        <v>0.15967679991372413</v>
      </c>
      <c r="AI120" s="17">
        <f t="shared" si="22"/>
        <v>0.27940650684046087</v>
      </c>
      <c r="AJ120" s="17">
        <f t="shared" si="22"/>
        <v>0.47114615892229333</v>
      </c>
      <c r="AK120" s="17">
        <f t="shared" si="22"/>
        <v>0.42716041154975332</v>
      </c>
      <c r="AL120" s="29">
        <f t="shared" si="22"/>
        <v>0.999999999999999</v>
      </c>
      <c r="AM120" s="17">
        <f t="shared" si="22"/>
        <v>0.46747776936894014</v>
      </c>
    </row>
    <row r="121" spans="2:39">
      <c r="B121" s="17">
        <f>('Q1'!W12-B$106)/B$107</f>
        <v>1.0767088282899715</v>
      </c>
      <c r="C121" s="17">
        <f>('Q1'!X12-C$106)/C$107</f>
        <v>1.3995580511442056</v>
      </c>
      <c r="D121" s="17">
        <f>('Q1'!Y12-D$106)/D$107</f>
        <v>2.6075731765274424</v>
      </c>
      <c r="E121" s="17">
        <f>('Q1'!Z12-E$106)/E$107</f>
        <v>0.21529877081424648</v>
      </c>
      <c r="F121" s="17">
        <f>('Q1'!AA12-F$106)/F$107</f>
        <v>1.8725275266270152</v>
      </c>
      <c r="G121" s="17">
        <f>('Q1'!AB12-G$106)/G$107</f>
        <v>1.0762383755260903</v>
      </c>
      <c r="H121" s="17">
        <f>('Q1'!AC12-H$106)/H$107</f>
        <v>1.3513008609786012</v>
      </c>
      <c r="I121" s="17">
        <f>('Q1'!AD12-I$106)/I$107</f>
        <v>0.78782767215384875</v>
      </c>
      <c r="J121" s="17">
        <f>('Q1'!AE12-J$106)/J$107</f>
        <v>1.8780028810992855</v>
      </c>
      <c r="K121" s="17">
        <f>('Q1'!AF12-K$106)/K$107</f>
        <v>0.59774883888150343</v>
      </c>
      <c r="L121" s="17">
        <f>('Q1'!AG12-L$106)/L$107</f>
        <v>-0.11859428516381787</v>
      </c>
      <c r="M121" s="17">
        <f>('Q1'!AH12-M$106)/M$107</f>
        <v>1.3109513592016793</v>
      </c>
      <c r="N121" s="17">
        <f>('Q1'!AI12-N$106)/N$107</f>
        <v>2.0527477947810304</v>
      </c>
      <c r="O121" s="17">
        <f>('Q1'!AJ12-O$106)/O$107</f>
        <v>1.5747670526233639</v>
      </c>
      <c r="P121" s="17">
        <f>('Q1'!AK12-P$106)/P$107</f>
        <v>-1.1237270817657268</v>
      </c>
      <c r="Q121" s="17">
        <f>('Q1'!AL12-Q$106)/Q$107</f>
        <v>-3.0604205921492933</v>
      </c>
      <c r="R121" s="17">
        <f>('Q1'!AM12-R$106)/R$107</f>
        <v>-3.1924147719067779</v>
      </c>
      <c r="S121" s="17">
        <f>('Q1'!AN12-S$106)/S$107</f>
        <v>-1.3433876571332675</v>
      </c>
      <c r="U121" s="24" t="s">
        <v>18</v>
      </c>
      <c r="V121" s="17">
        <f>SUMPRODUCT($S$111:$S$407,B$111:B$407)/297</f>
        <v>0.29100775271869372</v>
      </c>
      <c r="W121" s="17">
        <f t="shared" ref="W121:AM121" si="23">SUMPRODUCT($S$111:$S$407,C$111:C$407)/297</f>
        <v>0.31126633454168096</v>
      </c>
      <c r="X121" s="17">
        <f t="shared" si="23"/>
        <v>0.46325941969349144</v>
      </c>
      <c r="Y121" s="17">
        <f t="shared" si="23"/>
        <v>0.39556090883713418</v>
      </c>
      <c r="Z121" s="17">
        <f t="shared" si="23"/>
        <v>0.34385715011996976</v>
      </c>
      <c r="AA121" s="17">
        <f t="shared" si="23"/>
        <v>0.29198332873236355</v>
      </c>
      <c r="AB121" s="17">
        <f t="shared" si="23"/>
        <v>0.28239022616896009</v>
      </c>
      <c r="AC121" s="17">
        <f t="shared" si="23"/>
        <v>7.3261793586117091E-2</v>
      </c>
      <c r="AD121" s="17">
        <f t="shared" si="23"/>
        <v>0.39951537339523685</v>
      </c>
      <c r="AE121" s="17">
        <f t="shared" si="23"/>
        <v>0.24911402871501889</v>
      </c>
      <c r="AF121" s="17">
        <f t="shared" si="23"/>
        <v>0.35849415227048015</v>
      </c>
      <c r="AG121" s="17">
        <f t="shared" si="23"/>
        <v>0.20586363503786356</v>
      </c>
      <c r="AH121" s="17">
        <f t="shared" si="23"/>
        <v>0.19170989121777543</v>
      </c>
      <c r="AI121" s="17">
        <f t="shared" si="23"/>
        <v>0.43376813158925215</v>
      </c>
      <c r="AJ121" s="17">
        <f t="shared" si="23"/>
        <v>0.41917227965998471</v>
      </c>
      <c r="AK121" s="17">
        <f t="shared" si="23"/>
        <v>0.38177090004566161</v>
      </c>
      <c r="AL121" s="17">
        <f t="shared" si="23"/>
        <v>0.46747776936894014</v>
      </c>
      <c r="AM121" s="29">
        <f t="shared" si="23"/>
        <v>1</v>
      </c>
    </row>
    <row r="122" spans="2:39">
      <c r="B122" s="17">
        <f>('Q1'!W13-B$106)/B$107</f>
        <v>7.6586734933684911E-2</v>
      </c>
      <c r="C122" s="17">
        <f>('Q1'!X13-C$106)/C$107</f>
        <v>1.4757499044912366</v>
      </c>
      <c r="D122" s="17">
        <f>('Q1'!Y13-D$106)/D$107</f>
        <v>2.348730510652342</v>
      </c>
      <c r="E122" s="17">
        <f>('Q1'!Z13-E$106)/E$107</f>
        <v>0.80147766054248937</v>
      </c>
      <c r="F122" s="17">
        <f>('Q1'!AA13-F$106)/F$107</f>
        <v>0.34860408496121009</v>
      </c>
      <c r="G122" s="17">
        <f>('Q1'!AB13-G$106)/G$107</f>
        <v>2.0557916031563095</v>
      </c>
      <c r="H122" s="17">
        <f>('Q1'!AC13-H$106)/H$107</f>
        <v>-0.89524301526104422</v>
      </c>
      <c r="I122" s="17">
        <f>('Q1'!AD13-I$106)/I$107</f>
        <v>-1.8050526019300204</v>
      </c>
      <c r="J122" s="17">
        <f>('Q1'!AE13-J$106)/J$107</f>
        <v>1.0698715710060536</v>
      </c>
      <c r="K122" s="17">
        <f>('Q1'!AF13-K$106)/K$107</f>
        <v>-0.3730278127081233</v>
      </c>
      <c r="L122" s="17">
        <f>('Q1'!AG13-L$106)/L$107</f>
        <v>-1.7000742092312431</v>
      </c>
      <c r="M122" s="17">
        <f>('Q1'!AH13-M$106)/M$107</f>
        <v>0.81053588694996392</v>
      </c>
      <c r="N122" s="17">
        <f>('Q1'!AI13-N$106)/N$107</f>
        <v>-1.0223043352303884</v>
      </c>
      <c r="O122" s="17">
        <f>('Q1'!AJ13-O$106)/O$107</f>
        <v>0.21990378040676872</v>
      </c>
      <c r="P122" s="17">
        <f>('Q1'!AK13-P$106)/P$107</f>
        <v>3.8705023154535363</v>
      </c>
      <c r="Q122" s="17">
        <f>('Q1'!AL13-Q$106)/Q$107</f>
        <v>0.70875901596995194</v>
      </c>
      <c r="R122" s="17">
        <f>('Q1'!AM13-R$106)/R$107</f>
        <v>4.9357307428710868</v>
      </c>
      <c r="S122" s="17">
        <f>('Q1'!AN13-S$106)/S$107</f>
        <v>4.3203679385881006</v>
      </c>
    </row>
    <row r="123" spans="2:39">
      <c r="B123" s="17">
        <f>('Q1'!W14-B$106)/B$107</f>
        <v>-0.55527362807190328</v>
      </c>
      <c r="C123" s="17">
        <f>('Q1'!X14-C$106)/C$107</f>
        <v>-0.61769793754100755</v>
      </c>
      <c r="D123" s="17">
        <f>('Q1'!Y14-D$106)/D$107</f>
        <v>-1.8396532355262205</v>
      </c>
      <c r="E123" s="17">
        <f>('Q1'!Z14-E$106)/E$107</f>
        <v>-1.0664823213599901</v>
      </c>
      <c r="F123" s="17">
        <f>('Q1'!AA14-F$106)/F$107</f>
        <v>-1.2630164430488746</v>
      </c>
      <c r="G123" s="17">
        <f>('Q1'!AB14-G$106)/G$107</f>
        <v>0.58891603418191274</v>
      </c>
      <c r="H123" s="17">
        <f>('Q1'!AC14-H$106)/H$107</f>
        <v>-0.81097832244207457</v>
      </c>
      <c r="I123" s="17">
        <f>('Q1'!AD14-I$106)/I$107</f>
        <v>-0.42173880600919195</v>
      </c>
      <c r="J123" s="17">
        <f>('Q1'!AE14-J$106)/J$107</f>
        <v>4.6158098872383306E-2</v>
      </c>
      <c r="K123" s="17">
        <f>('Q1'!AF14-K$106)/K$107</f>
        <v>-0.12256815465884358</v>
      </c>
      <c r="L123" s="17">
        <f>('Q1'!AG14-L$106)/L$107</f>
        <v>-0.86054892688829077</v>
      </c>
      <c r="M123" s="17">
        <f>('Q1'!AH14-M$106)/M$107</f>
        <v>7.3056766966635989E-2</v>
      </c>
      <c r="N123" s="17">
        <f>('Q1'!AI14-N$106)/N$107</f>
        <v>-0.50157142346892736</v>
      </c>
      <c r="O123" s="17">
        <f>('Q1'!AJ14-O$106)/O$107</f>
        <v>-1.5508874819886576</v>
      </c>
      <c r="P123" s="17">
        <f>('Q1'!AK14-P$106)/P$107</f>
        <v>-1.644463232930379</v>
      </c>
      <c r="Q123" s="17">
        <f>('Q1'!AL14-Q$106)/Q$107</f>
        <v>-3.3882766591604319</v>
      </c>
      <c r="R123" s="17">
        <f>('Q1'!AM14-R$106)/R$107</f>
        <v>-0.57072241488236009</v>
      </c>
      <c r="S123" s="17">
        <f>('Q1'!AN14-S$106)/S$107</f>
        <v>-1.5975742395204433</v>
      </c>
      <c r="U123" s="30" t="s">
        <v>56</v>
      </c>
    </row>
    <row r="124" spans="2:39">
      <c r="B124" s="17">
        <f>('Q1'!W15-B$106)/B$107</f>
        <v>0.26594703929879809</v>
      </c>
      <c r="C124" s="17">
        <f>('Q1'!X15-C$106)/C$107</f>
        <v>0.73839150982650015</v>
      </c>
      <c r="D124" s="17">
        <f>('Q1'!Y15-D$106)/D$107</f>
        <v>-0.57258117294917488</v>
      </c>
      <c r="E124" s="17">
        <f>('Q1'!Z15-E$106)/E$107</f>
        <v>-0.73821530856962847</v>
      </c>
      <c r="F124" s="17">
        <f>('Q1'!AA15-F$106)/F$107</f>
        <v>-6.3960655620652743E-2</v>
      </c>
      <c r="G124" s="17">
        <f>('Q1'!AB15-G$106)/G$107</f>
        <v>-1.1712426366956217</v>
      </c>
      <c r="H124" s="17">
        <f>('Q1'!AC15-H$106)/H$107</f>
        <v>-1.4851755720890303</v>
      </c>
      <c r="I124" s="17">
        <f>('Q1'!AD15-I$106)/I$107</f>
        <v>-2.3552658419231371</v>
      </c>
      <c r="J124" s="17">
        <f>('Q1'!AE15-J$106)/J$107</f>
        <v>-0.74893085369922885</v>
      </c>
      <c r="K124" s="17">
        <f>('Q1'!AF15-K$106)/K$107</f>
        <v>-1.5180778831952924</v>
      </c>
      <c r="L124" s="17">
        <f>('Q1'!AG15-L$106)/L$107</f>
        <v>-0.77038187220227106</v>
      </c>
      <c r="M124" s="17">
        <f>('Q1'!AH15-M$106)/M$107</f>
        <v>-0.76961029991745011</v>
      </c>
      <c r="N124" s="17">
        <f>('Q1'!AI15-N$106)/N$107</f>
        <v>-0.15913252413368759</v>
      </c>
      <c r="O124" s="17">
        <f>('Q1'!AJ15-O$106)/O$107</f>
        <v>-0.98407860631988009</v>
      </c>
      <c r="P124" s="17">
        <f>('Q1'!AK15-P$106)/P$107</f>
        <v>1.6597557279112756</v>
      </c>
      <c r="Q124" s="17">
        <f>('Q1'!AL15-Q$106)/Q$107</f>
        <v>-0.1378384924259731</v>
      </c>
      <c r="R124" s="17">
        <f>('Q1'!AM15-R$106)/R$107</f>
        <v>-1.0610167647133832</v>
      </c>
      <c r="S124" s="17">
        <f>('Q1'!AN15-S$106)/S$107</f>
        <v>-0.59805390536540515</v>
      </c>
    </row>
    <row r="125" spans="2:39">
      <c r="B125" s="17">
        <f>('Q1'!W16-B$106)/B$107</f>
        <v>0.1484276758142733</v>
      </c>
      <c r="C125" s="17">
        <f>('Q1'!X16-C$106)/C$107</f>
        <v>0.11407131681621403</v>
      </c>
      <c r="D125" s="17">
        <f>('Q1'!Y16-D$106)/D$107</f>
        <v>0.680009644643218</v>
      </c>
      <c r="E125" s="17">
        <f>('Q1'!Z16-E$106)/E$107</f>
        <v>0.7722700908344452</v>
      </c>
      <c r="F125" s="17">
        <f>('Q1'!AA16-F$106)/F$107</f>
        <v>-1.4680118909275017</v>
      </c>
      <c r="G125" s="17">
        <f>('Q1'!AB16-G$106)/G$107</f>
        <v>0.1940011123233687</v>
      </c>
      <c r="H125" s="17">
        <f>('Q1'!AC16-H$106)/H$107</f>
        <v>1.4844034441670364</v>
      </c>
      <c r="I125" s="17">
        <f>('Q1'!AD16-I$106)/I$107</f>
        <v>-0.95101202983052635</v>
      </c>
      <c r="J125" s="17">
        <f>('Q1'!AE16-J$106)/J$107</f>
        <v>1.1531167749414202</v>
      </c>
      <c r="K125" s="17">
        <f>('Q1'!AF16-K$106)/K$107</f>
        <v>0.88062345210319992</v>
      </c>
      <c r="L125" s="17">
        <f>('Q1'!AG16-L$106)/L$107</f>
        <v>0.18740260523492702</v>
      </c>
      <c r="M125" s="17">
        <f>('Q1'!AH16-M$106)/M$107</f>
        <v>-5.171043666986385E-2</v>
      </c>
      <c r="N125" s="17">
        <f>('Q1'!AI16-N$106)/N$107</f>
        <v>-0.72713471676410368</v>
      </c>
      <c r="O125" s="17">
        <f>('Q1'!AJ16-O$106)/O$107</f>
        <v>0.16882839640667965</v>
      </c>
      <c r="P125" s="17">
        <f>('Q1'!AK16-P$106)/P$107</f>
        <v>1.168234501527021</v>
      </c>
      <c r="Q125" s="17">
        <f>('Q1'!AL16-Q$106)/Q$107</f>
        <v>4.0713809818844533</v>
      </c>
      <c r="R125" s="17">
        <f>('Q1'!AM16-R$106)/R$107</f>
        <v>2.829168148304718</v>
      </c>
      <c r="S125" s="17">
        <f>('Q1'!AN16-S$106)/S$107</f>
        <v>2.6449179346427489</v>
      </c>
    </row>
    <row r="126" spans="2:39">
      <c r="B126" s="17">
        <f>('Q1'!W17-B$106)/B$107</f>
        <v>-0.5815279366031888</v>
      </c>
      <c r="C126" s="17">
        <f>('Q1'!X17-C$106)/C$107</f>
        <v>0.43289695130354128</v>
      </c>
      <c r="D126" s="17">
        <f>('Q1'!Y17-D$106)/D$107</f>
        <v>0.25856186662352693</v>
      </c>
      <c r="E126" s="17">
        <f>('Q1'!Z17-E$106)/E$107</f>
        <v>0.34286363195415703</v>
      </c>
      <c r="F126" s="17">
        <f>('Q1'!AA17-F$106)/F$107</f>
        <v>1.3723324999595155</v>
      </c>
      <c r="G126" s="17">
        <f>('Q1'!AB17-G$106)/G$107</f>
        <v>0.25584095643374416</v>
      </c>
      <c r="H126" s="17">
        <f>('Q1'!AC17-H$106)/H$107</f>
        <v>-1.2808302071372852</v>
      </c>
      <c r="I126" s="17">
        <f>('Q1'!AD17-I$106)/I$107</f>
        <v>1.354060644233902</v>
      </c>
      <c r="J126" s="17">
        <f>('Q1'!AE17-J$106)/J$107</f>
        <v>0.45218775153020119</v>
      </c>
      <c r="K126" s="17">
        <f>('Q1'!AF17-K$106)/K$107</f>
        <v>-0.22414671056199625</v>
      </c>
      <c r="L126" s="17">
        <f>('Q1'!AG17-L$106)/L$107</f>
        <v>-0.17896652306278693</v>
      </c>
      <c r="M126" s="17">
        <f>('Q1'!AH17-M$106)/M$107</f>
        <v>0.19096848771327576</v>
      </c>
      <c r="N126" s="17">
        <f>('Q1'!AI17-N$106)/N$107</f>
        <v>-8.9603138950808126E-2</v>
      </c>
      <c r="O126" s="17">
        <f>('Q1'!AJ17-O$106)/O$107</f>
        <v>0.14437173730959046</v>
      </c>
      <c r="P126" s="17">
        <f>('Q1'!AK17-P$106)/P$107</f>
        <v>-2.1985320639010859</v>
      </c>
      <c r="Q126" s="17">
        <f>('Q1'!AL17-Q$106)/Q$107</f>
        <v>0.28043394613926054</v>
      </c>
      <c r="R126" s="17">
        <f>('Q1'!AM17-R$106)/R$107</f>
        <v>0.11371391239985319</v>
      </c>
      <c r="S126" s="17">
        <f>('Q1'!AN17-S$106)/S$107</f>
        <v>-0.49891441204964637</v>
      </c>
    </row>
    <row r="127" spans="2:39">
      <c r="B127" s="17">
        <f>('Q1'!W18-B$106)/B$107</f>
        <v>0.23832405326677802</v>
      </c>
      <c r="C127" s="17">
        <f>('Q1'!X18-C$106)/C$107</f>
        <v>0.11355997949305111</v>
      </c>
      <c r="D127" s="17">
        <f>('Q1'!Y18-D$106)/D$107</f>
        <v>-1.2500075433444309</v>
      </c>
      <c r="E127" s="17">
        <f>('Q1'!Z18-E$106)/E$107</f>
        <v>0.266897961911708</v>
      </c>
      <c r="F127" s="17">
        <f>('Q1'!AA18-F$106)/F$107</f>
        <v>0.29523799947314577</v>
      </c>
      <c r="G127" s="17">
        <f>('Q1'!AB18-G$106)/G$107</f>
        <v>-0.47479074997555099</v>
      </c>
      <c r="H127" s="17">
        <f>('Q1'!AC18-H$106)/H$107</f>
        <v>-2.1937241827463434E-2</v>
      </c>
      <c r="I127" s="17">
        <f>('Q1'!AD18-I$106)/I$107</f>
        <v>-0.28382538329872614</v>
      </c>
      <c r="J127" s="17">
        <f>('Q1'!AE18-J$106)/J$107</f>
        <v>1.1697447215889423</v>
      </c>
      <c r="K127" s="17">
        <f>('Q1'!AF18-K$106)/K$107</f>
        <v>-1.1222736071987014</v>
      </c>
      <c r="L127" s="17">
        <f>('Q1'!AG18-L$106)/L$107</f>
        <v>-0.99237814699676685</v>
      </c>
      <c r="M127" s="17">
        <f>('Q1'!AH18-M$106)/M$107</f>
        <v>-5.8450072336623832E-2</v>
      </c>
      <c r="N127" s="17">
        <f>('Q1'!AI18-N$106)/N$107</f>
        <v>-0.22370173261490672</v>
      </c>
      <c r="O127" s="17">
        <f>('Q1'!AJ18-O$106)/O$107</f>
        <v>-0.36932369279092991</v>
      </c>
      <c r="P127" s="17">
        <f>('Q1'!AK18-P$106)/P$107</f>
        <v>1.2627357305817901</v>
      </c>
      <c r="Q127" s="17">
        <f>('Q1'!AL18-Q$106)/Q$107</f>
        <v>-1.3603663934905899</v>
      </c>
      <c r="R127" s="17">
        <f>('Q1'!AM18-R$106)/R$107</f>
        <v>0.53909607587838304</v>
      </c>
      <c r="S127" s="17">
        <f>('Q1'!AN18-S$106)/S$107</f>
        <v>0.13284412226993492</v>
      </c>
    </row>
    <row r="128" spans="2:39">
      <c r="B128" s="17">
        <f>('Q1'!W19-B$106)/B$107</f>
        <v>-0.48516429783814341</v>
      </c>
      <c r="C128" s="17">
        <f>('Q1'!X19-C$106)/C$107</f>
        <v>0.44890435366862069</v>
      </c>
      <c r="D128" s="17">
        <f>('Q1'!Y19-D$106)/D$107</f>
        <v>-0.43815553231871079</v>
      </c>
      <c r="E128" s="17">
        <f>('Q1'!Z19-E$106)/E$107</f>
        <v>-0.45183161762120638</v>
      </c>
      <c r="F128" s="17">
        <f>('Q1'!AA19-F$106)/F$107</f>
        <v>0.26498172780548807</v>
      </c>
      <c r="G128" s="17">
        <f>('Q1'!AB19-G$106)/G$107</f>
        <v>-0.79006371954640975</v>
      </c>
      <c r="H128" s="17">
        <f>('Q1'!AC19-H$106)/H$107</f>
        <v>1.2151839001545337</v>
      </c>
      <c r="I128" s="17">
        <f>('Q1'!AD19-I$106)/I$107</f>
        <v>2.0791605469700007</v>
      </c>
      <c r="J128" s="17">
        <f>('Q1'!AE19-J$106)/J$107</f>
        <v>0.36402518716545901</v>
      </c>
      <c r="K128" s="17">
        <f>('Q1'!AF19-K$106)/K$107</f>
        <v>0.41507967884351271</v>
      </c>
      <c r="L128" s="17">
        <f>('Q1'!AG19-L$106)/L$107</f>
        <v>0.31853785060096362</v>
      </c>
      <c r="M128" s="17">
        <f>('Q1'!AH19-M$106)/M$107</f>
        <v>0.95324771662177898</v>
      </c>
      <c r="N128" s="17">
        <f>('Q1'!AI19-N$106)/N$107</f>
        <v>-0.21391325751491164</v>
      </c>
      <c r="O128" s="17">
        <f>('Q1'!AJ19-O$106)/O$107</f>
        <v>2.9734147167178493E-3</v>
      </c>
      <c r="P128" s="17">
        <f>('Q1'!AK19-P$106)/P$107</f>
        <v>-1.967826768805194</v>
      </c>
      <c r="Q128" s="17">
        <f>('Q1'!AL19-Q$106)/Q$107</f>
        <v>-1.087707826035619</v>
      </c>
      <c r="R128" s="17">
        <f>('Q1'!AM19-R$106)/R$107</f>
        <v>-1.3128493615471835</v>
      </c>
      <c r="S128" s="17">
        <f>('Q1'!AN19-S$106)/S$107</f>
        <v>-1.1110462298933257</v>
      </c>
    </row>
    <row r="129" spans="2:19">
      <c r="B129" s="17">
        <f>('Q1'!W20-B$106)/B$107</f>
        <v>0.3396318135411045</v>
      </c>
      <c r="C129" s="17">
        <f>('Q1'!X20-C$106)/C$107</f>
        <v>-0.39448355811526908</v>
      </c>
      <c r="D129" s="17">
        <f>('Q1'!Y20-D$106)/D$107</f>
        <v>-1.109163298329205</v>
      </c>
      <c r="E129" s="17">
        <f>('Q1'!Z20-E$106)/E$107</f>
        <v>-0.77880630634358949</v>
      </c>
      <c r="F129" s="17">
        <f>('Q1'!AA20-F$106)/F$107</f>
        <v>-3.88405205572548E-3</v>
      </c>
      <c r="G129" s="17">
        <f>('Q1'!AB20-G$106)/G$107</f>
        <v>-0.53708025793645842</v>
      </c>
      <c r="H129" s="17">
        <f>('Q1'!AC20-H$106)/H$107</f>
        <v>0.1723739421236565</v>
      </c>
      <c r="I129" s="17">
        <f>('Q1'!AD20-I$106)/I$107</f>
        <v>0.83107555823349655</v>
      </c>
      <c r="J129" s="17">
        <f>('Q1'!AE20-J$106)/J$107</f>
        <v>-0.58124458967573134</v>
      </c>
      <c r="K129" s="17">
        <f>('Q1'!AF20-K$106)/K$107</f>
        <v>-1.2342743461001902</v>
      </c>
      <c r="L129" s="17">
        <f>('Q1'!AG20-L$106)/L$107</f>
        <v>-1.1730257025578328</v>
      </c>
      <c r="M129" s="17">
        <f>('Q1'!AH20-M$106)/M$107</f>
        <v>-0.82984323330190468</v>
      </c>
      <c r="N129" s="17">
        <f>('Q1'!AI20-N$106)/N$107</f>
        <v>-0.13093065523466607</v>
      </c>
      <c r="O129" s="17">
        <f>('Q1'!AJ20-O$106)/O$107</f>
        <v>0.57181468772066302</v>
      </c>
      <c r="P129" s="17">
        <f>('Q1'!AK20-P$106)/P$107</f>
        <v>-0.34861543322701338</v>
      </c>
      <c r="Q129" s="17">
        <f>('Q1'!AL20-Q$106)/Q$107</f>
        <v>-2.3927560744060488</v>
      </c>
      <c r="R129" s="17">
        <f>('Q1'!AM20-R$106)/R$107</f>
        <v>-1.871524478002297</v>
      </c>
      <c r="S129" s="17">
        <f>('Q1'!AN20-S$106)/S$107</f>
        <v>-0.79068060305968091</v>
      </c>
    </row>
    <row r="130" spans="2:19">
      <c r="B130" s="17">
        <f>('Q1'!W21-B$106)/B$107</f>
        <v>-0.91864797787839869</v>
      </c>
      <c r="C130" s="17">
        <f>('Q1'!X21-C$106)/C$107</f>
        <v>-0.54918848629375017</v>
      </c>
      <c r="D130" s="17">
        <f>('Q1'!Y21-D$106)/D$107</f>
        <v>-1.6980837483109792</v>
      </c>
      <c r="E130" s="17">
        <f>('Q1'!Z21-E$106)/E$107</f>
        <v>-0.99433395473443986</v>
      </c>
      <c r="F130" s="17">
        <f>('Q1'!AA21-F$106)/F$107</f>
        <v>-1.1211036870992459</v>
      </c>
      <c r="G130" s="17">
        <f>('Q1'!AB21-G$106)/G$107</f>
        <v>-1.8163070148072249</v>
      </c>
      <c r="H130" s="17">
        <f>('Q1'!AC21-H$106)/H$107</f>
        <v>-1.748858006342066</v>
      </c>
      <c r="I130" s="17">
        <f>('Q1'!AD21-I$106)/I$107</f>
        <v>-0.51008509889171627</v>
      </c>
      <c r="J130" s="17">
        <f>('Q1'!AE21-J$106)/J$107</f>
        <v>-1.5694704737552898</v>
      </c>
      <c r="K130" s="17">
        <f>('Q1'!AF21-K$106)/K$107</f>
        <v>0.75087280413769242</v>
      </c>
      <c r="L130" s="17">
        <f>('Q1'!AG21-L$106)/L$107</f>
        <v>-2.3588246355983982</v>
      </c>
      <c r="M130" s="17">
        <f>('Q1'!AH21-M$106)/M$107</f>
        <v>-0.90688626312524678</v>
      </c>
      <c r="N130" s="17">
        <f>('Q1'!AI21-N$106)/N$107</f>
        <v>-0.46062107873630626</v>
      </c>
      <c r="O130" s="17">
        <f>('Q1'!AJ21-O$106)/O$107</f>
        <v>-1.3816769225363861</v>
      </c>
      <c r="P130" s="17">
        <f>('Q1'!AK21-P$106)/P$107</f>
        <v>-1.7151240126940248</v>
      </c>
      <c r="Q130" s="17">
        <f>('Q1'!AL21-Q$106)/Q$107</f>
        <v>-2.7679568679425333</v>
      </c>
      <c r="R130" s="17">
        <f>('Q1'!AM21-R$106)/R$107</f>
        <v>-1.4348038673459034</v>
      </c>
      <c r="S130" s="17">
        <f>('Q1'!AN21-S$106)/S$107</f>
        <v>-1.2235273451084434</v>
      </c>
    </row>
    <row r="131" spans="2:19">
      <c r="B131" s="17">
        <f>('Q1'!W22-B$106)/B$107</f>
        <v>0.84066521303932662</v>
      </c>
      <c r="C131" s="17">
        <f>('Q1'!X22-C$106)/C$107</f>
        <v>8.2295332166452975E-2</v>
      </c>
      <c r="D131" s="17">
        <f>('Q1'!Y22-D$106)/D$107</f>
        <v>0.28927339799189811</v>
      </c>
      <c r="E131" s="17">
        <f>('Q1'!Z22-E$106)/E$107</f>
        <v>1.0406879674863969</v>
      </c>
      <c r="F131" s="17">
        <f>('Q1'!AA22-F$106)/F$107</f>
        <v>-2.1565040822472947</v>
      </c>
      <c r="G131" s="17">
        <f>('Q1'!AB22-G$106)/G$107</f>
        <v>0.97373756011384904</v>
      </c>
      <c r="H131" s="17">
        <f>('Q1'!AC22-H$106)/H$107</f>
        <v>-0.31201063531900741</v>
      </c>
      <c r="I131" s="17">
        <f>('Q1'!AD22-I$106)/I$107</f>
        <v>0.11880873549294907</v>
      </c>
      <c r="J131" s="17">
        <f>('Q1'!AE22-J$106)/J$107</f>
        <v>0.45397616039502336</v>
      </c>
      <c r="K131" s="17">
        <f>('Q1'!AF22-K$106)/K$107</f>
        <v>0.6740732169804402</v>
      </c>
      <c r="L131" s="17">
        <f>('Q1'!AG22-L$106)/L$107</f>
        <v>2.2547380238328033E-2</v>
      </c>
      <c r="M131" s="17">
        <f>('Q1'!AH22-M$106)/M$107</f>
        <v>0.50012853679172631</v>
      </c>
      <c r="N131" s="17">
        <f>('Q1'!AI22-N$106)/N$107</f>
        <v>-1.4605056799172156</v>
      </c>
      <c r="O131" s="17">
        <f>('Q1'!AJ22-O$106)/O$107</f>
        <v>-1.2605357115607991</v>
      </c>
      <c r="P131" s="17">
        <f>('Q1'!AK22-P$106)/P$107</f>
        <v>0.96215443100567122</v>
      </c>
      <c r="Q131" s="17">
        <f>('Q1'!AL22-Q$106)/Q$107</f>
        <v>1.152311588379513</v>
      </c>
      <c r="R131" s="17">
        <f>('Q1'!AM22-R$106)/R$107</f>
        <v>1.5515745610732299</v>
      </c>
      <c r="S131" s="17">
        <f>('Q1'!AN22-S$106)/S$107</f>
        <v>2.3825779771488831</v>
      </c>
    </row>
    <row r="132" spans="2:19">
      <c r="B132" s="17">
        <f>('Q1'!W23-B$106)/B$107</f>
        <v>-4.0102212237533623E-2</v>
      </c>
      <c r="C132" s="17">
        <f>('Q1'!X23-C$106)/C$107</f>
        <v>0.27422471468242515</v>
      </c>
      <c r="D132" s="17">
        <f>('Q1'!Y23-D$106)/D$107</f>
        <v>0.78147944559994598</v>
      </c>
      <c r="E132" s="17">
        <f>('Q1'!Z23-E$106)/E$107</f>
        <v>0.42498481214209088</v>
      </c>
      <c r="F132" s="17">
        <f>('Q1'!AA23-F$106)/F$107</f>
        <v>0.41329604098340039</v>
      </c>
      <c r="G132" s="17">
        <f>('Q1'!AB23-G$106)/G$107</f>
        <v>1.1469806166513121</v>
      </c>
      <c r="H132" s="17">
        <f>('Q1'!AC23-H$106)/H$107</f>
        <v>0.80543482160625346</v>
      </c>
      <c r="I132" s="17">
        <f>('Q1'!AD23-I$106)/I$107</f>
        <v>0.94442103004518607</v>
      </c>
      <c r="J132" s="17">
        <f>('Q1'!AE23-J$106)/J$107</f>
        <v>0.95279516054910118</v>
      </c>
      <c r="K132" s="17">
        <f>('Q1'!AF23-K$106)/K$107</f>
        <v>0.48840149603925398</v>
      </c>
      <c r="L132" s="17">
        <f>('Q1'!AG23-L$106)/L$107</f>
        <v>1.2265217501398555</v>
      </c>
      <c r="M132" s="17">
        <f>('Q1'!AH23-M$106)/M$107</f>
        <v>0.94764443102820084</v>
      </c>
      <c r="N132" s="17">
        <f>('Q1'!AI23-N$106)/N$107</f>
        <v>0.88945266829587788</v>
      </c>
      <c r="O132" s="17">
        <f>('Q1'!AJ23-O$106)/O$107</f>
        <v>1.5501729738385224</v>
      </c>
      <c r="P132" s="17">
        <f>('Q1'!AK23-P$106)/P$107</f>
        <v>1.692923355718656</v>
      </c>
      <c r="Q132" s="17">
        <f>('Q1'!AL23-Q$106)/Q$107</f>
        <v>4.6910512602910241</v>
      </c>
      <c r="R132" s="17">
        <f>('Q1'!AM23-R$106)/R$107</f>
        <v>1.1500871329365874</v>
      </c>
      <c r="S132" s="17">
        <f>('Q1'!AN23-S$106)/S$107</f>
        <v>0.87174526155137422</v>
      </c>
    </row>
    <row r="133" spans="2:19">
      <c r="B133" s="17">
        <f>('Q1'!W24-B$106)/B$107</f>
        <v>0.67450780455395576</v>
      </c>
      <c r="C133" s="17">
        <f>('Q1'!X24-C$106)/C$107</f>
        <v>0.13895195802833493</v>
      </c>
      <c r="D133" s="17">
        <f>('Q1'!Y24-D$106)/D$107</f>
        <v>-0.55609750796723878</v>
      </c>
      <c r="E133" s="17">
        <f>('Q1'!Z24-E$106)/E$107</f>
        <v>0.47047608431601073</v>
      </c>
      <c r="F133" s="17">
        <f>('Q1'!AA24-F$106)/F$107</f>
        <v>0.33507492930582056</v>
      </c>
      <c r="G133" s="17">
        <f>('Q1'!AB24-G$106)/G$107</f>
        <v>0.74763190990452788</v>
      </c>
      <c r="H133" s="17">
        <f>('Q1'!AC24-H$106)/H$107</f>
        <v>0.93525833371020728</v>
      </c>
      <c r="I133" s="17">
        <f>('Q1'!AD24-I$106)/I$107</f>
        <v>0.27551853297294043</v>
      </c>
      <c r="J133" s="17">
        <f>('Q1'!AE24-J$106)/J$107</f>
        <v>1.3105419760722743</v>
      </c>
      <c r="K133" s="17">
        <f>('Q1'!AF24-K$106)/K$107</f>
        <v>-1.3484267762671152</v>
      </c>
      <c r="L133" s="17">
        <f>('Q1'!AG24-L$106)/L$107</f>
        <v>0.81782992480562466</v>
      </c>
      <c r="M133" s="17">
        <f>('Q1'!AH24-M$106)/M$107</f>
        <v>-0.5218199252916168</v>
      </c>
      <c r="N133" s="17">
        <f>('Q1'!AI24-N$106)/N$107</f>
        <v>0.14646777662689073</v>
      </c>
      <c r="O133" s="17">
        <f>('Q1'!AJ24-O$106)/O$107</f>
        <v>0.20064831211264525</v>
      </c>
      <c r="P133" s="17">
        <f>('Q1'!AK24-P$106)/P$107</f>
        <v>2.1647517384491707E-2</v>
      </c>
      <c r="Q133" s="17">
        <f>('Q1'!AL24-Q$106)/Q$107</f>
        <v>-0.51580717605233739</v>
      </c>
      <c r="R133" s="17">
        <f>('Q1'!AM24-R$106)/R$107</f>
        <v>0.24669951528889902</v>
      </c>
      <c r="S133" s="17">
        <f>('Q1'!AN24-S$106)/S$107</f>
        <v>0.56817629762760535</v>
      </c>
    </row>
    <row r="134" spans="2:19">
      <c r="B134" s="17">
        <f>('Q1'!W25-B$106)/B$107</f>
        <v>-0.44238711281407717</v>
      </c>
      <c r="C134" s="17">
        <f>('Q1'!X25-C$106)/C$107</f>
        <v>6.9347122838111239E-3</v>
      </c>
      <c r="D134" s="17">
        <f>('Q1'!Y25-D$106)/D$107</f>
        <v>-0.87364437241103043</v>
      </c>
      <c r="E134" s="17">
        <f>('Q1'!Z25-E$106)/E$107</f>
        <v>-0.54841866646139259</v>
      </c>
      <c r="F134" s="17">
        <f>('Q1'!AA25-F$106)/F$107</f>
        <v>-0.212904318321081</v>
      </c>
      <c r="G134" s="17">
        <f>('Q1'!AB25-G$106)/G$107</f>
        <v>6.2885930294078157E-2</v>
      </c>
      <c r="H134" s="17">
        <f>('Q1'!AC25-H$106)/H$107</f>
        <v>-3.3448646835344112E-2</v>
      </c>
      <c r="I134" s="17">
        <f>('Q1'!AD25-I$106)/I$107</f>
        <v>0.4855199769104771</v>
      </c>
      <c r="J134" s="17">
        <f>('Q1'!AE25-J$106)/J$107</f>
        <v>-0.69662986104014113</v>
      </c>
      <c r="K134" s="17">
        <f>('Q1'!AF25-K$106)/K$107</f>
        <v>0.68701855794230904</v>
      </c>
      <c r="L134" s="17">
        <f>('Q1'!AG25-L$106)/L$107</f>
        <v>-6.8898674163877613E-2</v>
      </c>
      <c r="M134" s="17">
        <f>('Q1'!AH25-M$106)/M$107</f>
        <v>-0.32417524183599949</v>
      </c>
      <c r="N134" s="17">
        <f>('Q1'!AI25-N$106)/N$107</f>
        <v>0.69206167770558502</v>
      </c>
      <c r="O134" s="17">
        <f>('Q1'!AJ25-O$106)/O$107</f>
        <v>0.58170930734451209</v>
      </c>
      <c r="P134" s="17">
        <f>('Q1'!AK25-P$106)/P$107</f>
        <v>0.93136386278856154</v>
      </c>
      <c r="Q134" s="17">
        <f>('Q1'!AL25-Q$106)/Q$107</f>
        <v>2.2647697293286195</v>
      </c>
      <c r="R134" s="17">
        <f>('Q1'!AM25-R$106)/R$107</f>
        <v>-0.62762556141936832</v>
      </c>
      <c r="S134" s="17">
        <f>('Q1'!AN25-S$106)/S$107</f>
        <v>-1.5977961236976364</v>
      </c>
    </row>
    <row r="135" spans="2:19">
      <c r="B135" s="17">
        <f>('Q1'!W26-B$106)/B$107</f>
        <v>-0.55817739707751435</v>
      </c>
      <c r="C135" s="17">
        <f>('Q1'!X26-C$106)/C$107</f>
        <v>3.9497894697246801E-2</v>
      </c>
      <c r="D135" s="17">
        <f>('Q1'!Y26-D$106)/D$107</f>
        <v>-1.6934799046722584</v>
      </c>
      <c r="E135" s="17">
        <f>('Q1'!Z26-E$106)/E$107</f>
        <v>-0.38619080555832008</v>
      </c>
      <c r="F135" s="17">
        <f>('Q1'!AA26-F$106)/F$107</f>
        <v>-6.1064596593762219E-2</v>
      </c>
      <c r="G135" s="17">
        <f>('Q1'!AB26-G$106)/G$107</f>
        <v>-2.006599071978396E-2</v>
      </c>
      <c r="H135" s="17">
        <f>('Q1'!AC26-H$106)/H$107</f>
        <v>0.91444157231400847</v>
      </c>
      <c r="I135" s="17">
        <f>('Q1'!AD26-I$106)/I$107</f>
        <v>0.69867307426555059</v>
      </c>
      <c r="J135" s="17">
        <f>('Q1'!AE26-J$106)/J$107</f>
        <v>1.5190544729310627</v>
      </c>
      <c r="K135" s="17">
        <f>('Q1'!AF26-K$106)/K$107</f>
        <v>-0.34923482202777817</v>
      </c>
      <c r="L135" s="17">
        <f>('Q1'!AG26-L$106)/L$107</f>
        <v>9.2255247172219113E-2</v>
      </c>
      <c r="M135" s="17">
        <f>('Q1'!AH26-M$106)/M$107</f>
        <v>0.35207976391332713</v>
      </c>
      <c r="N135" s="17">
        <f>('Q1'!AI26-N$106)/N$107</f>
        <v>8.4440036662517884E-2</v>
      </c>
      <c r="O135" s="17">
        <f>('Q1'!AJ26-O$106)/O$107</f>
        <v>-0.30282698761887705</v>
      </c>
      <c r="P135" s="17">
        <f>('Q1'!AK26-P$106)/P$107</f>
        <v>-1.3378990518281342</v>
      </c>
      <c r="Q135" s="17">
        <f>('Q1'!AL26-Q$106)/Q$107</f>
        <v>-0.2200468486948044</v>
      </c>
      <c r="R135" s="17">
        <f>('Q1'!AM26-R$106)/R$107</f>
        <v>-1.2006170715941475</v>
      </c>
      <c r="S135" s="17">
        <f>('Q1'!AN26-S$106)/S$107</f>
        <v>-1.3545534003426511</v>
      </c>
    </row>
    <row r="136" spans="2:19">
      <c r="B136" s="17">
        <f>('Q1'!W27-B$106)/B$107</f>
        <v>0.30988718181906749</v>
      </c>
      <c r="C136" s="17">
        <f>('Q1'!X27-C$106)/C$107</f>
        <v>0.57535415014528812</v>
      </c>
      <c r="D136" s="17">
        <f>('Q1'!Y27-D$106)/D$107</f>
        <v>2.449701512381119</v>
      </c>
      <c r="E136" s="17">
        <f>('Q1'!Z27-E$106)/E$107</f>
        <v>0.78651137584257891</v>
      </c>
      <c r="F136" s="17">
        <f>('Q1'!AA27-F$106)/F$107</f>
        <v>0.92677065019559646</v>
      </c>
      <c r="G136" s="17">
        <f>('Q1'!AB27-G$106)/G$107</f>
        <v>-0.27165586572675049</v>
      </c>
      <c r="H136" s="17">
        <f>('Q1'!AC27-H$106)/H$107</f>
        <v>-0.78581404570210112</v>
      </c>
      <c r="I136" s="17">
        <f>('Q1'!AD27-I$106)/I$107</f>
        <v>1.0817432431646596</v>
      </c>
      <c r="J136" s="17">
        <f>('Q1'!AE27-J$106)/J$107</f>
        <v>-1.0493620258006673</v>
      </c>
      <c r="K136" s="17">
        <f>('Q1'!AF27-K$106)/K$107</f>
        <v>-0.50910124653977251</v>
      </c>
      <c r="L136" s="17">
        <f>('Q1'!AG27-L$106)/L$107</f>
        <v>1.2530311849266276</v>
      </c>
      <c r="M136" s="17">
        <f>('Q1'!AH27-M$106)/M$107</f>
        <v>0.86285525910139549</v>
      </c>
      <c r="N136" s="17">
        <f>('Q1'!AI27-N$106)/N$107</f>
        <v>0.52485047538434026</v>
      </c>
      <c r="O136" s="17">
        <f>('Q1'!AJ27-O$106)/O$107</f>
        <v>0.36509127906551586</v>
      </c>
      <c r="P136" s="17">
        <f>('Q1'!AK27-P$106)/P$107</f>
        <v>0.58785072635675206</v>
      </c>
      <c r="Q136" s="17">
        <f>('Q1'!AL27-Q$106)/Q$107</f>
        <v>-5.9552451864832129E-2</v>
      </c>
      <c r="R136" s="17">
        <f>('Q1'!AM27-R$106)/R$107</f>
        <v>0.27158949072415106</v>
      </c>
      <c r="S136" s="17">
        <f>('Q1'!AN27-S$106)/S$107</f>
        <v>0.75692144761075109</v>
      </c>
    </row>
    <row r="137" spans="2:19">
      <c r="B137" s="17">
        <f>('Q1'!W28-B$106)/B$107</f>
        <v>1.2263248731172962</v>
      </c>
      <c r="C137" s="17">
        <f>('Q1'!X28-C$106)/C$107</f>
        <v>0.50111924881151615</v>
      </c>
      <c r="D137" s="17">
        <f>('Q1'!Y28-D$106)/D$107</f>
        <v>-0.30994717495286511</v>
      </c>
      <c r="E137" s="17">
        <f>('Q1'!Z28-E$106)/E$107</f>
        <v>-1.1033418979301968</v>
      </c>
      <c r="F137" s="17">
        <f>('Q1'!AA28-F$106)/F$107</f>
        <v>-0.39724434582199614</v>
      </c>
      <c r="G137" s="17">
        <f>('Q1'!AB28-G$106)/G$107</f>
        <v>-0.28822698284882337</v>
      </c>
      <c r="H137" s="17">
        <f>('Q1'!AC28-H$106)/H$107</f>
        <v>-0.33247952638686884</v>
      </c>
      <c r="I137" s="17">
        <f>('Q1'!AD28-I$106)/I$107</f>
        <v>-0.11182362269074421</v>
      </c>
      <c r="J137" s="17">
        <f>('Q1'!AE28-J$106)/J$107</f>
        <v>-6.056131257993691E-2</v>
      </c>
      <c r="K137" s="17">
        <f>('Q1'!AF28-K$106)/K$107</f>
        <v>-1.4772935692738562</v>
      </c>
      <c r="L137" s="17">
        <f>('Q1'!AG28-L$106)/L$107</f>
        <v>-0.105063577091714</v>
      </c>
      <c r="M137" s="17">
        <f>('Q1'!AH28-M$106)/M$107</f>
        <v>-0.33679511623836544</v>
      </c>
      <c r="N137" s="17">
        <f>('Q1'!AI28-N$106)/N$107</f>
        <v>0.30928465432437174</v>
      </c>
      <c r="O137" s="17">
        <f>('Q1'!AJ28-O$106)/O$107</f>
        <v>-0.45118630528960241</v>
      </c>
      <c r="P137" s="17">
        <f>('Q1'!AK28-P$106)/P$107</f>
        <v>-3.8862170119431409E-3</v>
      </c>
      <c r="Q137" s="17">
        <f>('Q1'!AL28-Q$106)/Q$107</f>
        <v>1.1363116166023139</v>
      </c>
      <c r="R137" s="17">
        <f>('Q1'!AM28-R$106)/R$107</f>
        <v>-1.8140351107775672</v>
      </c>
      <c r="S137" s="17">
        <f>('Q1'!AN28-S$106)/S$107</f>
        <v>-2.8012199815684067</v>
      </c>
    </row>
    <row r="138" spans="2:19">
      <c r="B138" s="17">
        <f>('Q1'!W29-B$106)/B$107</f>
        <v>-8.1144521621185517E-2</v>
      </c>
      <c r="C138" s="17">
        <f>('Q1'!X29-C$106)/C$107</f>
        <v>0.32338773669341703</v>
      </c>
      <c r="D138" s="17">
        <f>('Q1'!Y29-D$106)/D$107</f>
        <v>0.27445896872855019</v>
      </c>
      <c r="E138" s="17">
        <f>('Q1'!Z29-E$106)/E$107</f>
        <v>-4.8030842665399399E-2</v>
      </c>
      <c r="F138" s="17">
        <f>('Q1'!AA29-F$106)/F$107</f>
        <v>0.35374877068255273</v>
      </c>
      <c r="G138" s="17">
        <f>('Q1'!AB29-G$106)/G$107</f>
        <v>0.25536943302170556</v>
      </c>
      <c r="H138" s="17">
        <f>('Q1'!AC29-H$106)/H$107</f>
        <v>0.42746985225093603</v>
      </c>
      <c r="I138" s="17">
        <f>('Q1'!AD29-I$106)/I$107</f>
        <v>-0.22211855486753906</v>
      </c>
      <c r="J138" s="17">
        <f>('Q1'!AE29-J$106)/J$107</f>
        <v>-1.1130019159367228</v>
      </c>
      <c r="K138" s="17">
        <f>('Q1'!AF29-K$106)/K$107</f>
        <v>-0.86322191230798273</v>
      </c>
      <c r="L138" s="17">
        <f>('Q1'!AG29-L$106)/L$107</f>
        <v>0.30997998808084887</v>
      </c>
      <c r="M138" s="17">
        <f>('Q1'!AH29-M$106)/M$107</f>
        <v>0.72720299510950781</v>
      </c>
      <c r="N138" s="17">
        <f>('Q1'!AI29-N$106)/N$107</f>
        <v>0.17681081179471092</v>
      </c>
      <c r="O138" s="17">
        <f>('Q1'!AJ29-O$106)/O$107</f>
        <v>-0.86568722767926187</v>
      </c>
      <c r="P138" s="17">
        <f>('Q1'!AK29-P$106)/P$107</f>
        <v>-0.59454272477502612</v>
      </c>
      <c r="Q138" s="17">
        <f>('Q1'!AL29-Q$106)/Q$107</f>
        <v>0.5509848640146876</v>
      </c>
      <c r="R138" s="17">
        <f>('Q1'!AM29-R$106)/R$107</f>
        <v>-0.47164036309123103</v>
      </c>
      <c r="S138" s="17">
        <f>('Q1'!AN29-S$106)/S$107</f>
        <v>-0.64501239448432846</v>
      </c>
    </row>
    <row r="139" spans="2:19">
      <c r="B139" s="17">
        <f>('Q1'!W30-B$106)/B$107</f>
        <v>-0.51323740947258356</v>
      </c>
      <c r="C139" s="17">
        <f>('Q1'!X30-C$106)/C$107</f>
        <v>-0.74375680995427085</v>
      </c>
      <c r="D139" s="17">
        <f>('Q1'!Y30-D$106)/D$107</f>
        <v>-0.79345784781113804</v>
      </c>
      <c r="E139" s="17">
        <f>('Q1'!Z30-E$106)/E$107</f>
        <v>-0.87393350593370611</v>
      </c>
      <c r="F139" s="17">
        <f>('Q1'!AA30-F$106)/F$107</f>
        <v>-0.66196253604858857</v>
      </c>
      <c r="G139" s="17">
        <f>('Q1'!AB30-G$106)/G$107</f>
        <v>-0.39644825917012227</v>
      </c>
      <c r="H139" s="17">
        <f>('Q1'!AC30-H$106)/H$107</f>
        <v>5.1494336672315941E-2</v>
      </c>
      <c r="I139" s="17">
        <f>('Q1'!AD30-I$106)/I$107</f>
        <v>-0.20393344295051796</v>
      </c>
      <c r="J139" s="17">
        <f>('Q1'!AE30-J$106)/J$107</f>
        <v>-0.48955791101312923</v>
      </c>
      <c r="K139" s="17">
        <f>('Q1'!AF30-K$106)/K$107</f>
        <v>0.18170813002197525</v>
      </c>
      <c r="L139" s="17">
        <f>('Q1'!AG30-L$106)/L$107</f>
        <v>-1.7327820059223589</v>
      </c>
      <c r="M139" s="17">
        <f>('Q1'!AH30-M$106)/M$107</f>
        <v>0.20515675573431</v>
      </c>
      <c r="N139" s="17">
        <f>('Q1'!AI30-N$106)/N$107</f>
        <v>-0.5930361323823865</v>
      </c>
      <c r="O139" s="17">
        <f>('Q1'!AJ30-O$106)/O$107</f>
        <v>-1.1972298409212683</v>
      </c>
      <c r="P139" s="17">
        <f>('Q1'!AK30-P$106)/P$107</f>
        <v>-2.3987733928553499</v>
      </c>
      <c r="Q139" s="17">
        <f>('Q1'!AL30-Q$106)/Q$107</f>
        <v>-1.0196667418174572</v>
      </c>
      <c r="R139" s="17">
        <f>('Q1'!AM30-R$106)/R$107</f>
        <v>0.77886603742247396</v>
      </c>
      <c r="S139" s="17">
        <f>('Q1'!AN30-S$106)/S$107</f>
        <v>-1.5314046427825485</v>
      </c>
    </row>
    <row r="140" spans="2:19">
      <c r="B140" s="17">
        <f>('Q1'!W31-B$106)/B$107</f>
        <v>-0.85287681692991646</v>
      </c>
      <c r="C140" s="17">
        <f>('Q1'!X31-C$106)/C$107</f>
        <v>-0.51993861760180227</v>
      </c>
      <c r="D140" s="17">
        <f>('Q1'!Y31-D$106)/D$107</f>
        <v>-3.2403207814523012</v>
      </c>
      <c r="E140" s="17">
        <f>('Q1'!Z31-E$106)/E$107</f>
        <v>-1.17934260711159</v>
      </c>
      <c r="F140" s="17">
        <f>('Q1'!AA31-F$106)/F$107</f>
        <v>-0.99300372326205</v>
      </c>
      <c r="G140" s="17">
        <f>('Q1'!AB31-G$106)/G$107</f>
        <v>-0.484972628343042</v>
      </c>
      <c r="H140" s="17">
        <f>('Q1'!AC31-H$106)/H$107</f>
        <v>-1.6238020570106695</v>
      </c>
      <c r="I140" s="17">
        <f>('Q1'!AD31-I$106)/I$107</f>
        <v>-6.4963402108683191E-2</v>
      </c>
      <c r="J140" s="17">
        <f>('Q1'!AE31-J$106)/J$107</f>
        <v>-1.5400299455233528</v>
      </c>
      <c r="K140" s="17">
        <f>('Q1'!AF31-K$106)/K$107</f>
        <v>-1.3188226460203039</v>
      </c>
      <c r="L140" s="17">
        <f>('Q1'!AG31-L$106)/L$107</f>
        <v>-0.44212957913962087</v>
      </c>
      <c r="M140" s="17">
        <f>('Q1'!AH31-M$106)/M$107</f>
        <v>-1.2748342751060679</v>
      </c>
      <c r="N140" s="17">
        <f>('Q1'!AI31-N$106)/N$107</f>
        <v>7.4844549328269158E-2</v>
      </c>
      <c r="O140" s="17">
        <f>('Q1'!AJ31-O$106)/O$107</f>
        <v>-1.6976062883132235</v>
      </c>
      <c r="P140" s="17">
        <f>('Q1'!AK31-P$106)/P$107</f>
        <v>-1.4885263767909755</v>
      </c>
      <c r="Q140" s="17">
        <f>('Q1'!AL31-Q$106)/Q$107</f>
        <v>-1.0365321751564016</v>
      </c>
      <c r="R140" s="17">
        <f>('Q1'!AM31-R$106)/R$107</f>
        <v>-1.6815275895167237</v>
      </c>
      <c r="S140" s="17">
        <f>('Q1'!AN31-S$106)/S$107</f>
        <v>-0.40456436028579645</v>
      </c>
    </row>
    <row r="141" spans="2:19">
      <c r="B141" s="17">
        <f>('Q1'!W32-B$106)/B$107</f>
        <v>-0.49206698749254829</v>
      </c>
      <c r="C141" s="17">
        <f>('Q1'!X32-C$106)/C$107</f>
        <v>0.39484860436112146</v>
      </c>
      <c r="D141" s="17">
        <f>('Q1'!Y32-D$106)/D$107</f>
        <v>0.68811483269469931</v>
      </c>
      <c r="E141" s="17">
        <f>('Q1'!Z32-E$106)/E$107</f>
        <v>-0.22657942938450032</v>
      </c>
      <c r="F141" s="17">
        <f>('Q1'!AA32-F$106)/F$107</f>
        <v>1.0440416840022502</v>
      </c>
      <c r="G141" s="17">
        <f>('Q1'!AB32-G$106)/G$107</f>
        <v>-0.42899272011946782</v>
      </c>
      <c r="H141" s="17">
        <f>('Q1'!AC32-H$106)/H$107</f>
        <v>0.947921040236538</v>
      </c>
      <c r="I141" s="17">
        <f>('Q1'!AD32-I$106)/I$107</f>
        <v>-0.12471414834097774</v>
      </c>
      <c r="J141" s="17">
        <f>('Q1'!AE32-J$106)/J$107</f>
        <v>-0.51644627999037107</v>
      </c>
      <c r="K141" s="17">
        <f>('Q1'!AF32-K$106)/K$107</f>
        <v>0.30522048711314126</v>
      </c>
      <c r="L141" s="17">
        <f>('Q1'!AG32-L$106)/L$107</f>
        <v>0.15741595316205634</v>
      </c>
      <c r="M141" s="17">
        <f>('Q1'!AH32-M$106)/M$107</f>
        <v>0.36284697132974292</v>
      </c>
      <c r="N141" s="17">
        <f>('Q1'!AI32-N$106)/N$107</f>
        <v>0.19745881420399525</v>
      </c>
      <c r="O141" s="17">
        <f>('Q1'!AJ32-O$106)/O$107</f>
        <v>0.83250955523110592</v>
      </c>
      <c r="P141" s="17">
        <f>('Q1'!AK32-P$106)/P$107</f>
        <v>-0.53534549653751362</v>
      </c>
      <c r="Q141" s="17">
        <f>('Q1'!AL32-Q$106)/Q$107</f>
        <v>9.4677146152875105E-2</v>
      </c>
      <c r="R141" s="17">
        <f>('Q1'!AM32-R$106)/R$107</f>
        <v>0.1363884830485235</v>
      </c>
      <c r="S141" s="17">
        <f>('Q1'!AN32-S$106)/S$107</f>
        <v>0.88778954895271478</v>
      </c>
    </row>
    <row r="142" spans="2:19">
      <c r="B142" s="17">
        <f>('Q1'!W33-B$106)/B$107</f>
        <v>-1.4124542906688584</v>
      </c>
      <c r="C142" s="17">
        <f>('Q1'!X33-C$106)/C$107</f>
        <v>-0.90425093725901062</v>
      </c>
      <c r="D142" s="17">
        <f>('Q1'!Y33-D$106)/D$107</f>
        <v>-3.435088307984147</v>
      </c>
      <c r="E142" s="17">
        <f>('Q1'!Z33-E$106)/E$107</f>
        <v>-0.2296172790120396</v>
      </c>
      <c r="F142" s="17">
        <f>('Q1'!AA33-F$106)/F$107</f>
        <v>-0.56272986506846567</v>
      </c>
      <c r="G142" s="17">
        <f>('Q1'!AB33-G$106)/G$107</f>
        <v>-1.4777595928456555</v>
      </c>
      <c r="H142" s="17">
        <f>('Q1'!AC33-H$106)/H$107</f>
        <v>-0.30609766245713133</v>
      </c>
      <c r="I142" s="17">
        <f>('Q1'!AD33-I$106)/I$107</f>
        <v>1.3154596999497142E-2</v>
      </c>
      <c r="J142" s="17">
        <f>('Q1'!AE33-J$106)/J$107</f>
        <v>-0.7888013833354045</v>
      </c>
      <c r="K142" s="17">
        <f>('Q1'!AF33-K$106)/K$107</f>
        <v>-2.0362530239942012</v>
      </c>
      <c r="L142" s="17">
        <f>('Q1'!AG33-L$106)/L$107</f>
        <v>-1.6187939353718894</v>
      </c>
      <c r="M142" s="17">
        <f>('Q1'!AH33-M$106)/M$107</f>
        <v>-0.4080374454587623</v>
      </c>
      <c r="N142" s="17">
        <f>('Q1'!AI33-N$106)/N$107</f>
        <v>-0.98489191103057205</v>
      </c>
      <c r="O142" s="17">
        <f>('Q1'!AJ33-O$106)/O$107</f>
        <v>-3.1681654039921088</v>
      </c>
      <c r="P142" s="17">
        <f>('Q1'!AK33-P$106)/P$107</f>
        <v>-0.38638557615411967</v>
      </c>
      <c r="Q142" s="17">
        <f>('Q1'!AL33-Q$106)/Q$107</f>
        <v>0.34765262608760322</v>
      </c>
      <c r="R142" s="17">
        <f>('Q1'!AM33-R$106)/R$107</f>
        <v>-1.5063191811191499</v>
      </c>
      <c r="S142" s="17">
        <f>('Q1'!AN33-S$106)/S$107</f>
        <v>-3.2200176913562695</v>
      </c>
    </row>
    <row r="143" spans="2:19">
      <c r="B143" s="17">
        <f>('Q1'!W34-B$106)/B$107</f>
        <v>1.4207893775376921</v>
      </c>
      <c r="C143" s="17">
        <f>('Q1'!X34-C$106)/C$107</f>
        <v>0.8483460458669061</v>
      </c>
      <c r="D143" s="17">
        <f>('Q1'!Y34-D$106)/D$107</f>
        <v>0.96375796444721773</v>
      </c>
      <c r="E143" s="17">
        <f>('Q1'!Z34-E$106)/E$107</f>
        <v>2.0910319650029514</v>
      </c>
      <c r="F143" s="17">
        <f>('Q1'!AA34-F$106)/F$107</f>
        <v>0.72002546500878206</v>
      </c>
      <c r="G143" s="17">
        <f>('Q1'!AB34-G$106)/G$107</f>
        <v>0.2593775882450613</v>
      </c>
      <c r="H143" s="17">
        <f>('Q1'!AC34-H$106)/H$107</f>
        <v>0.13076548212070904</v>
      </c>
      <c r="I143" s="17">
        <f>('Q1'!AD34-I$106)/I$107</f>
        <v>-0.35382999941052351</v>
      </c>
      <c r="J143" s="17">
        <f>('Q1'!AE34-J$106)/J$107</f>
        <v>-0.22818150107349325</v>
      </c>
      <c r="K143" s="17">
        <f>('Q1'!AF34-K$106)/K$107</f>
        <v>1.4982378049626526</v>
      </c>
      <c r="L143" s="17">
        <f>('Q1'!AG34-L$106)/L$107</f>
        <v>1.726615812137422</v>
      </c>
      <c r="M143" s="17">
        <f>('Q1'!AH34-M$106)/M$107</f>
        <v>0.58225153107218275</v>
      </c>
      <c r="N143" s="17">
        <f>('Q1'!AI34-N$106)/N$107</f>
        <v>0.46047750343532073</v>
      </c>
      <c r="O143" s="17">
        <f>('Q1'!AJ34-O$106)/O$107</f>
        <v>1.3383838121415195</v>
      </c>
      <c r="P143" s="17">
        <f>('Q1'!AK34-P$106)/P$107</f>
        <v>0.74604376969225739</v>
      </c>
      <c r="Q143" s="17">
        <f>('Q1'!AL34-Q$106)/Q$107</f>
        <v>1.5130508376009713</v>
      </c>
      <c r="R143" s="17">
        <f>('Q1'!AM34-R$106)/R$107</f>
        <v>2.6245685742901212</v>
      </c>
      <c r="S143" s="17">
        <f>('Q1'!AN34-S$106)/S$107</f>
        <v>4.8229583316089313</v>
      </c>
    </row>
    <row r="144" spans="2:19">
      <c r="B144" s="17">
        <f>('Q1'!W35-B$106)/B$107</f>
        <v>0.30426815418470099</v>
      </c>
      <c r="C144" s="17">
        <f>('Q1'!X35-C$106)/C$107</f>
        <v>-5.6360516772547539E-2</v>
      </c>
      <c r="D144" s="17">
        <f>('Q1'!Y35-D$106)/D$107</f>
        <v>2.6319319105095591</v>
      </c>
      <c r="E144" s="17">
        <f>('Q1'!Z35-E$106)/E$107</f>
        <v>0.46863489664193281</v>
      </c>
      <c r="F144" s="17">
        <f>('Q1'!AA35-F$106)/F$107</f>
        <v>0.65101023508913825</v>
      </c>
      <c r="G144" s="17">
        <f>('Q1'!AB35-G$106)/G$107</f>
        <v>0.42858544337799909</v>
      </c>
      <c r="H144" s="17">
        <f>('Q1'!AC35-H$106)/H$107</f>
        <v>1.0671272969113286</v>
      </c>
      <c r="I144" s="17">
        <f>('Q1'!AD35-I$106)/I$107</f>
        <v>-0.93585790001603297</v>
      </c>
      <c r="J144" s="17">
        <f>('Q1'!AE35-J$106)/J$107</f>
        <v>1.1864673431658799</v>
      </c>
      <c r="K144" s="17">
        <f>('Q1'!AF35-K$106)/K$107</f>
        <v>-0.19251194803418892</v>
      </c>
      <c r="L144" s="17">
        <f>('Q1'!AG35-L$106)/L$107</f>
        <v>0.69077422513520514</v>
      </c>
      <c r="M144" s="17">
        <f>('Q1'!AH35-M$106)/M$107</f>
        <v>-0.14240913751757836</v>
      </c>
      <c r="N144" s="17">
        <f>('Q1'!AI35-N$106)/N$107</f>
        <v>-1.1355155190400765</v>
      </c>
      <c r="O144" s="17">
        <f>('Q1'!AJ35-O$106)/O$107</f>
        <v>1.6523317224161471</v>
      </c>
      <c r="P144" s="17">
        <f>('Q1'!AK35-P$106)/P$107</f>
        <v>-0.55384831267365431</v>
      </c>
      <c r="Q144" s="17">
        <f>('Q1'!AL35-Q$106)/Q$107</f>
        <v>1.4409466623254521</v>
      </c>
      <c r="R144" s="17">
        <f>('Q1'!AM35-R$106)/R$107</f>
        <v>0.83237758041841325</v>
      </c>
      <c r="S144" s="17">
        <f>('Q1'!AN35-S$106)/S$107</f>
        <v>1.3097303165433634</v>
      </c>
    </row>
    <row r="145" spans="2:19">
      <c r="B145" s="17">
        <f>('Q1'!W36-B$106)/B$107</f>
        <v>-1.3665836336974353</v>
      </c>
      <c r="C145" s="17">
        <f>('Q1'!X36-C$106)/C$107</f>
        <v>-0.15860046075815135</v>
      </c>
      <c r="D145" s="17">
        <f>('Q1'!Y36-D$106)/D$107</f>
        <v>-0.67584151534389336</v>
      </c>
      <c r="E145" s="17">
        <f>('Q1'!Z36-E$106)/E$107</f>
        <v>-0.83960186704628992</v>
      </c>
      <c r="F145" s="17">
        <f>('Q1'!AA36-F$106)/F$107</f>
        <v>0.28357360881491511</v>
      </c>
      <c r="G145" s="17">
        <f>('Q1'!AB36-G$106)/G$107</f>
        <v>-1.0098819998721815</v>
      </c>
      <c r="H145" s="17">
        <f>('Q1'!AC36-H$106)/H$107</f>
        <v>-1.4424713316815696</v>
      </c>
      <c r="I145" s="17">
        <f>('Q1'!AD36-I$106)/I$107</f>
        <v>0.17945077321065991</v>
      </c>
      <c r="J145" s="17">
        <f>('Q1'!AE36-J$106)/J$107</f>
        <v>-0.47894150663123863</v>
      </c>
      <c r="K145" s="17">
        <f>('Q1'!AF36-K$106)/K$107</f>
        <v>-0.50852960658681334</v>
      </c>
      <c r="L145" s="17">
        <f>('Q1'!AG36-L$106)/L$107</f>
        <v>-1.1380161417374521</v>
      </c>
      <c r="M145" s="17">
        <f>('Q1'!AH36-M$106)/M$107</f>
        <v>-0.51770537065590005</v>
      </c>
      <c r="N145" s="17">
        <f>('Q1'!AI36-N$106)/N$107</f>
        <v>0.12326636495693739</v>
      </c>
      <c r="O145" s="17">
        <f>('Q1'!AJ36-O$106)/O$107</f>
        <v>-4.5885193468377383E-2</v>
      </c>
      <c r="P145" s="17">
        <f>('Q1'!AK36-P$106)/P$107</f>
        <v>-0.91572442003127275</v>
      </c>
      <c r="Q145" s="17">
        <f>('Q1'!AL36-Q$106)/Q$107</f>
        <v>-1.663885795220897</v>
      </c>
      <c r="R145" s="17">
        <f>('Q1'!AM36-R$106)/R$107</f>
        <v>-1.4423838595693141</v>
      </c>
      <c r="S145" s="17">
        <f>('Q1'!AN36-S$106)/S$107</f>
        <v>-1.5794795411946745</v>
      </c>
    </row>
    <row r="146" spans="2:19">
      <c r="B146" s="17">
        <f>('Q1'!W37-B$106)/B$107</f>
        <v>-0.29596652068937218</v>
      </c>
      <c r="C146" s="17">
        <f>('Q1'!X37-C$106)/C$107</f>
        <v>5.4788275094627699E-2</v>
      </c>
      <c r="D146" s="17">
        <f>('Q1'!Y37-D$106)/D$107</f>
        <v>-0.45217600385673817</v>
      </c>
      <c r="E146" s="17">
        <f>('Q1'!Z37-E$106)/E$107</f>
        <v>-0.22929306309909464</v>
      </c>
      <c r="F146" s="17">
        <f>('Q1'!AA37-F$106)/F$107</f>
        <v>0.26422948770686294</v>
      </c>
      <c r="G146" s="17">
        <f>('Q1'!AB37-G$106)/G$107</f>
        <v>-0.81741104126961162</v>
      </c>
      <c r="H146" s="17">
        <f>('Q1'!AC37-H$106)/H$107</f>
        <v>-1.0980798373133211</v>
      </c>
      <c r="I146" s="17">
        <f>('Q1'!AD37-I$106)/I$107</f>
        <v>-0.23373835989438377</v>
      </c>
      <c r="J146" s="17">
        <f>('Q1'!AE37-J$106)/J$107</f>
        <v>-2.8451556388224386</v>
      </c>
      <c r="K146" s="17">
        <f>('Q1'!AF37-K$106)/K$107</f>
        <v>-0.18119203050886537</v>
      </c>
      <c r="L146" s="17">
        <f>('Q1'!AG37-L$106)/L$107</f>
        <v>-3.7092928296746708E-2</v>
      </c>
      <c r="M146" s="17">
        <f>('Q1'!AH37-M$106)/M$107</f>
        <v>0.61094919914798451</v>
      </c>
      <c r="N146" s="17">
        <f>('Q1'!AI37-N$106)/N$107</f>
        <v>1.0785544575064678E-2</v>
      </c>
      <c r="O146" s="17">
        <f>('Q1'!AJ37-O$106)/O$107</f>
        <v>-0.20413982686081961</v>
      </c>
      <c r="P146" s="17">
        <f>('Q1'!AK37-P$106)/P$107</f>
        <v>-0.21417029477054816</v>
      </c>
      <c r="Q146" s="17">
        <f>('Q1'!AL37-Q$106)/Q$107</f>
        <v>1.0547136819414313</v>
      </c>
      <c r="R146" s="17">
        <f>('Q1'!AM37-R$106)/R$107</f>
        <v>-1.1722341248132464</v>
      </c>
      <c r="S146" s="17">
        <f>('Q1'!AN37-S$106)/S$107</f>
        <v>2.9934353203702087E-2</v>
      </c>
    </row>
    <row r="147" spans="2:19">
      <c r="B147" s="17">
        <f>('Q1'!W38-B$106)/B$107</f>
        <v>-0.4084806926991118</v>
      </c>
      <c r="C147" s="17">
        <f>('Q1'!X38-C$106)/C$107</f>
        <v>-0.19741324471400784</v>
      </c>
      <c r="D147" s="17">
        <f>('Q1'!Y38-D$106)/D$107</f>
        <v>-0.29682018863901793</v>
      </c>
      <c r="E147" s="17">
        <f>('Q1'!Z38-E$106)/E$107</f>
        <v>-0.22965452203220424</v>
      </c>
      <c r="F147" s="17">
        <f>('Q1'!AA38-F$106)/F$107</f>
        <v>0.41234620618651208</v>
      </c>
      <c r="G147" s="17">
        <f>('Q1'!AB38-G$106)/G$107</f>
        <v>-0.23026304379672971</v>
      </c>
      <c r="H147" s="17">
        <f>('Q1'!AC38-H$106)/H$107</f>
        <v>-0.41800336848673547</v>
      </c>
      <c r="I147" s="17">
        <f>('Q1'!AD38-I$106)/I$107</f>
        <v>-0.91239722852750693</v>
      </c>
      <c r="J147" s="17">
        <f>('Q1'!AE38-J$106)/J$107</f>
        <v>-0.47975359845393789</v>
      </c>
      <c r="K147" s="17">
        <f>('Q1'!AF38-K$106)/K$107</f>
        <v>-0.28272336703468465</v>
      </c>
      <c r="L147" s="17">
        <f>('Q1'!AG38-L$106)/L$107</f>
        <v>-0.72700369012977406</v>
      </c>
      <c r="M147" s="17">
        <f>('Q1'!AH38-M$106)/M$107</f>
        <v>-0.55157350403405869</v>
      </c>
      <c r="N147" s="17">
        <f>('Q1'!AI38-N$106)/N$107</f>
        <v>-0.63197792180674173</v>
      </c>
      <c r="O147" s="17">
        <f>('Q1'!AJ38-O$106)/O$107</f>
        <v>0.69748957823148849</v>
      </c>
      <c r="P147" s="17">
        <f>('Q1'!AK38-P$106)/P$107</f>
        <v>0.17622064072594906</v>
      </c>
      <c r="Q147" s="17">
        <f>('Q1'!AL38-Q$106)/Q$107</f>
        <v>-0.11320262270125717</v>
      </c>
      <c r="R147" s="17">
        <f>('Q1'!AM38-R$106)/R$107</f>
        <v>-0.16526950649316274</v>
      </c>
      <c r="S147" s="17">
        <f>('Q1'!AN38-S$106)/S$107</f>
        <v>-0.14007940031419497</v>
      </c>
    </row>
    <row r="148" spans="2:19">
      <c r="B148" s="17">
        <f>('Q1'!W39-B$106)/B$107</f>
        <v>0.36459290394638172</v>
      </c>
      <c r="C148" s="17">
        <f>('Q1'!X39-C$106)/C$107</f>
        <v>-0.40660967650825003</v>
      </c>
      <c r="D148" s="17">
        <f>('Q1'!Y39-D$106)/D$107</f>
        <v>0.40688452540966957</v>
      </c>
      <c r="E148" s="17">
        <f>('Q1'!Z39-E$106)/E$107</f>
        <v>0.26182250243314004</v>
      </c>
      <c r="F148" s="17">
        <f>('Q1'!AA39-F$106)/F$107</f>
        <v>-0.56480369139630482</v>
      </c>
      <c r="G148" s="17">
        <f>('Q1'!AB39-G$106)/G$107</f>
        <v>0.69630285224903499</v>
      </c>
      <c r="H148" s="17">
        <f>('Q1'!AC39-H$106)/H$107</f>
        <v>-0.80500224556033695</v>
      </c>
      <c r="I148" s="17">
        <f>('Q1'!AD39-I$106)/I$107</f>
        <v>1.5803731060049553</v>
      </c>
      <c r="J148" s="17">
        <f>('Q1'!AE39-J$106)/J$107</f>
        <v>-0.95442569496045693</v>
      </c>
      <c r="K148" s="17">
        <f>('Q1'!AF39-K$106)/K$107</f>
        <v>0.67487340383198025</v>
      </c>
      <c r="L148" s="17">
        <f>('Q1'!AG39-L$106)/L$107</f>
        <v>-0.23413700472612489</v>
      </c>
      <c r="M148" s="17">
        <f>('Q1'!AH39-M$106)/M$107</f>
        <v>-0.75024159688276026</v>
      </c>
      <c r="N148" s="17">
        <f>('Q1'!AI39-N$106)/N$107</f>
        <v>-0.13674876539736508</v>
      </c>
      <c r="O148" s="17">
        <f>('Q1'!AJ39-O$106)/O$107</f>
        <v>-0.40832451222444693</v>
      </c>
      <c r="P148" s="17">
        <f>('Q1'!AK39-P$106)/P$107</f>
        <v>-0.75725371883774395</v>
      </c>
      <c r="Q148" s="17">
        <f>('Q1'!AL39-Q$106)/Q$107</f>
        <v>1.2575910811882878</v>
      </c>
      <c r="R148" s="17">
        <f>('Q1'!AM39-R$106)/R$107</f>
        <v>0.15980519426365467</v>
      </c>
      <c r="S148" s="17">
        <f>('Q1'!AN39-S$106)/S$107</f>
        <v>1.7184633450468952E-2</v>
      </c>
    </row>
    <row r="149" spans="2:19">
      <c r="B149" s="17">
        <f>('Q1'!W40-B$106)/B$107</f>
        <v>1.5782568140255808</v>
      </c>
      <c r="C149" s="17">
        <f>('Q1'!X40-C$106)/C$107</f>
        <v>0.97946123747986102</v>
      </c>
      <c r="D149" s="17">
        <f>('Q1'!Y40-D$106)/D$107</f>
        <v>2.6743834967015712</v>
      </c>
      <c r="E149" s="17">
        <f>('Q1'!Z40-E$106)/E$107</f>
        <v>1.1728416457599968</v>
      </c>
      <c r="F149" s="17">
        <f>('Q1'!AA40-F$106)/F$107</f>
        <v>0.13217533648484389</v>
      </c>
      <c r="G149" s="17">
        <f>('Q1'!AB40-G$106)/G$107</f>
        <v>0.64925774481927545</v>
      </c>
      <c r="H149" s="17">
        <f>('Q1'!AC40-H$106)/H$107</f>
        <v>1.3724400655237894</v>
      </c>
      <c r="I149" s="17">
        <f>('Q1'!AD40-I$106)/I$107</f>
        <v>2.7903082824624212E-2</v>
      </c>
      <c r="J149" s="17">
        <f>('Q1'!AE40-J$106)/J$107</f>
        <v>2.1971618515974334E-2</v>
      </c>
      <c r="K149" s="17">
        <f>('Q1'!AF40-K$106)/K$107</f>
        <v>-0.28509887522874616</v>
      </c>
      <c r="L149" s="17">
        <f>('Q1'!AG40-L$106)/L$107</f>
        <v>1.4259676960046446</v>
      </c>
      <c r="M149" s="17">
        <f>('Q1'!AH40-M$106)/M$107</f>
        <v>0.67914084931297281</v>
      </c>
      <c r="N149" s="17">
        <f>('Q1'!AI40-N$106)/N$107</f>
        <v>0.75849440135372803</v>
      </c>
      <c r="O149" s="17">
        <f>('Q1'!AJ40-O$106)/O$107</f>
        <v>0.98482284658642638</v>
      </c>
      <c r="P149" s="17">
        <f>('Q1'!AK40-P$106)/P$107</f>
        <v>-0.18192931148815786</v>
      </c>
      <c r="Q149" s="17">
        <f>('Q1'!AL40-Q$106)/Q$107</f>
        <v>0.62853861834454905</v>
      </c>
      <c r="R149" s="17">
        <f>('Q1'!AM40-R$106)/R$107</f>
        <v>0.5510299669400015</v>
      </c>
      <c r="S149" s="17">
        <f>('Q1'!AN40-S$106)/S$107</f>
        <v>1.051220996461053</v>
      </c>
    </row>
    <row r="150" spans="2:19">
      <c r="B150" s="17">
        <f>('Q1'!W41-B$106)/B$107</f>
        <v>0.17623418457910586</v>
      </c>
      <c r="C150" s="17">
        <f>('Q1'!X41-C$106)/C$107</f>
        <v>-7.4350118918201397E-2</v>
      </c>
      <c r="D150" s="17">
        <f>('Q1'!Y41-D$106)/D$107</f>
        <v>1.4685271257072432</v>
      </c>
      <c r="E150" s="17">
        <f>('Q1'!Z41-E$106)/E$107</f>
        <v>0.36321864883530636</v>
      </c>
      <c r="F150" s="17">
        <f>('Q1'!AA41-F$106)/F$107</f>
        <v>0.55331223732225321</v>
      </c>
      <c r="G150" s="17">
        <f>('Q1'!AB41-G$106)/G$107</f>
        <v>0.40442508291065454</v>
      </c>
      <c r="H150" s="17">
        <f>('Q1'!AC41-H$106)/H$107</f>
        <v>-0.28104025410284822</v>
      </c>
      <c r="I150" s="17">
        <f>('Q1'!AD41-I$106)/I$107</f>
        <v>0.37485992006038649</v>
      </c>
      <c r="J150" s="17">
        <f>('Q1'!AE41-J$106)/J$107</f>
        <v>1.8170979517484127</v>
      </c>
      <c r="K150" s="17">
        <f>('Q1'!AF41-K$106)/K$107</f>
        <v>7.740290457220618E-2</v>
      </c>
      <c r="L150" s="17">
        <f>('Q1'!AG41-L$106)/L$107</f>
        <v>1.0231545863328297</v>
      </c>
      <c r="M150" s="17">
        <f>('Q1'!AH41-M$106)/M$107</f>
        <v>0.26006900090813312</v>
      </c>
      <c r="N150" s="17">
        <f>('Q1'!AI41-N$106)/N$107</f>
        <v>-0.10784506410823221</v>
      </c>
      <c r="O150" s="17">
        <f>('Q1'!AJ41-O$106)/O$107</f>
        <v>1.1802145528893742</v>
      </c>
      <c r="P150" s="17">
        <f>('Q1'!AK41-P$106)/P$107</f>
        <v>2.1389382448750167</v>
      </c>
      <c r="Q150" s="17">
        <f>('Q1'!AL41-Q$106)/Q$107</f>
        <v>1.7917224804729184</v>
      </c>
      <c r="R150" s="17">
        <f>('Q1'!AM41-R$106)/R$107</f>
        <v>-0.61769316986875267</v>
      </c>
      <c r="S150" s="17">
        <f>('Q1'!AN41-S$106)/S$107</f>
        <v>0.41853845378690796</v>
      </c>
    </row>
    <row r="151" spans="2:19">
      <c r="B151" s="17">
        <f>('Q1'!W42-B$106)/B$107</f>
        <v>0.23749239231453981</v>
      </c>
      <c r="C151" s="17">
        <f>('Q1'!X42-C$106)/C$107</f>
        <v>0.49681917498711436</v>
      </c>
      <c r="D151" s="17">
        <f>('Q1'!Y42-D$106)/D$107</f>
        <v>0.34510058851623537</v>
      </c>
      <c r="E151" s="17">
        <f>('Q1'!Z42-E$106)/E$107</f>
        <v>0.39450123788145086</v>
      </c>
      <c r="F151" s="17">
        <f>('Q1'!AA42-F$106)/F$107</f>
        <v>1.1937915445755936</v>
      </c>
      <c r="G151" s="17">
        <f>('Q1'!AB42-G$106)/G$107</f>
        <v>0.96944292485869554</v>
      </c>
      <c r="H151" s="17">
        <f>('Q1'!AC42-H$106)/H$107</f>
        <v>0.38415283957452173</v>
      </c>
      <c r="I151" s="17">
        <f>('Q1'!AD42-I$106)/I$107</f>
        <v>-0.71506852996697712</v>
      </c>
      <c r="J151" s="17">
        <f>('Q1'!AE42-J$106)/J$107</f>
        <v>-0.16246778044245938</v>
      </c>
      <c r="K151" s="17">
        <f>('Q1'!AF42-K$106)/K$107</f>
        <v>1.6820477277994041</v>
      </c>
      <c r="L151" s="17">
        <f>('Q1'!AG42-L$106)/L$107</f>
        <v>-7.8684815369108457E-2</v>
      </c>
      <c r="M151" s="17">
        <f>('Q1'!AH42-M$106)/M$107</f>
        <v>-0.53585775306281103</v>
      </c>
      <c r="N151" s="17">
        <f>('Q1'!AI42-N$106)/N$107</f>
        <v>0.48486946811190984</v>
      </c>
      <c r="O151" s="17">
        <f>('Q1'!AJ42-O$106)/O$107</f>
        <v>1.0061048629584985</v>
      </c>
      <c r="P151" s="17">
        <f>('Q1'!AK42-P$106)/P$107</f>
        <v>0.32610194555048261</v>
      </c>
      <c r="Q151" s="17">
        <f>('Q1'!AL42-Q$106)/Q$107</f>
        <v>-7.677982167615735E-2</v>
      </c>
      <c r="R151" s="17">
        <f>('Q1'!AM42-R$106)/R$107</f>
        <v>0.37241611368947675</v>
      </c>
      <c r="S151" s="17">
        <f>('Q1'!AN42-S$106)/S$107</f>
        <v>-0.94658188029893064</v>
      </c>
    </row>
    <row r="152" spans="2:19">
      <c r="B152" s="17">
        <f>('Q1'!W43-B$106)/B$107</f>
        <v>2.3702698494519805E-2</v>
      </c>
      <c r="C152" s="17">
        <f>('Q1'!X43-C$106)/C$107</f>
        <v>0.39362790764051636</v>
      </c>
      <c r="D152" s="17">
        <f>('Q1'!Y43-D$106)/D$107</f>
        <v>0.17171265629135393</v>
      </c>
      <c r="E152" s="17">
        <f>('Q1'!Z43-E$106)/E$107</f>
        <v>0.37724837049681581</v>
      </c>
      <c r="F152" s="17">
        <f>('Q1'!AA43-F$106)/F$107</f>
        <v>-0.16473679114810133</v>
      </c>
      <c r="G152" s="17">
        <f>('Q1'!AB43-G$106)/G$107</f>
        <v>0.62361401212163514</v>
      </c>
      <c r="H152" s="17">
        <f>('Q1'!AC43-H$106)/H$107</f>
        <v>1.2360414603318728</v>
      </c>
      <c r="I152" s="17">
        <f>('Q1'!AD43-I$106)/I$107</f>
        <v>-0.43818887627209818</v>
      </c>
      <c r="J152" s="17">
        <f>('Q1'!AE43-J$106)/J$107</f>
        <v>0.19372824917124754</v>
      </c>
      <c r="K152" s="17">
        <f>('Q1'!AF43-K$106)/K$107</f>
        <v>-0.44994413109632786</v>
      </c>
      <c r="L152" s="17">
        <f>('Q1'!AG43-L$106)/L$107</f>
        <v>0.5071388439965856</v>
      </c>
      <c r="M152" s="17">
        <f>('Q1'!AH43-M$106)/M$107</f>
        <v>-0.26327486173122128</v>
      </c>
      <c r="N152" s="17">
        <f>('Q1'!AI43-N$106)/N$107</f>
        <v>-8.6730975639785976E-2</v>
      </c>
      <c r="O152" s="17">
        <f>('Q1'!AJ43-O$106)/O$107</f>
        <v>-0.62242127221086863</v>
      </c>
      <c r="P152" s="17">
        <f>('Q1'!AK43-P$106)/P$107</f>
        <v>0.72529079512753836</v>
      </c>
      <c r="Q152" s="17">
        <f>('Q1'!AL43-Q$106)/Q$107</f>
        <v>0.97479918618302475</v>
      </c>
      <c r="R152" s="17">
        <f>('Q1'!AM43-R$106)/R$107</f>
        <v>0.2250046281874746</v>
      </c>
      <c r="S152" s="17">
        <f>('Q1'!AN43-S$106)/S$107</f>
        <v>-0.30626463769588808</v>
      </c>
    </row>
    <row r="153" spans="2:19">
      <c r="B153" s="17">
        <f>('Q1'!W44-B$106)/B$107</f>
        <v>-0.24849567530625319</v>
      </c>
      <c r="C153" s="17">
        <f>('Q1'!X44-C$106)/C$107</f>
        <v>-0.45683032360935261</v>
      </c>
      <c r="D153" s="17">
        <f>('Q1'!Y44-D$106)/D$107</f>
        <v>-0.29161135522810067</v>
      </c>
      <c r="E153" s="17">
        <f>('Q1'!Z44-E$106)/E$107</f>
        <v>-0.23745047713027254</v>
      </c>
      <c r="F153" s="17">
        <f>('Q1'!AA44-F$106)/F$107</f>
        <v>0.69314387077450323</v>
      </c>
      <c r="G153" s="17">
        <f>('Q1'!AB44-G$106)/G$107</f>
        <v>0.64485193700253496</v>
      </c>
      <c r="H153" s="17">
        <f>('Q1'!AC44-H$106)/H$107</f>
        <v>1.1916328106104455</v>
      </c>
      <c r="I153" s="17">
        <f>('Q1'!AD44-I$106)/I$107</f>
        <v>-0.17813727387780295</v>
      </c>
      <c r="J153" s="17">
        <f>('Q1'!AE44-J$106)/J$107</f>
        <v>0.69141582889842235</v>
      </c>
      <c r="K153" s="17">
        <f>('Q1'!AF44-K$106)/K$107</f>
        <v>-1.7716607142518694</v>
      </c>
      <c r="L153" s="17">
        <f>('Q1'!AG44-L$106)/L$107</f>
        <v>0.12936913793229837</v>
      </c>
      <c r="M153" s="17">
        <f>('Q1'!AH44-M$106)/M$107</f>
        <v>-0.11318810727225589</v>
      </c>
      <c r="N153" s="17">
        <f>('Q1'!AI44-N$106)/N$107</f>
        <v>-0.21089799487158273</v>
      </c>
      <c r="O153" s="17">
        <f>('Q1'!AJ44-O$106)/O$107</f>
        <v>0.70874121026631121</v>
      </c>
      <c r="P153" s="17">
        <f>('Q1'!AK44-P$106)/P$107</f>
        <v>0.42324153296263584</v>
      </c>
      <c r="Q153" s="17">
        <f>('Q1'!AL44-Q$106)/Q$107</f>
        <v>0.70830655839586032</v>
      </c>
      <c r="R153" s="17">
        <f>('Q1'!AM44-R$106)/R$107</f>
        <v>-9.7565059605785001E-2</v>
      </c>
      <c r="S153" s="17">
        <f>('Q1'!AN44-S$106)/S$107</f>
        <v>3.4395597151086164E-2</v>
      </c>
    </row>
    <row r="154" spans="2:19">
      <c r="B154" s="17">
        <f>('Q1'!W45-B$106)/B$107</f>
        <v>0.45302764750157271</v>
      </c>
      <c r="C154" s="17">
        <f>('Q1'!X45-C$106)/C$107</f>
        <v>-0.23096621108965049</v>
      </c>
      <c r="D154" s="17">
        <f>('Q1'!Y45-D$106)/D$107</f>
        <v>-9.0306249618561527E-2</v>
      </c>
      <c r="E154" s="17">
        <f>('Q1'!Z45-E$106)/E$107</f>
        <v>0.40386576810849206</v>
      </c>
      <c r="F154" s="17">
        <f>('Q1'!AA45-F$106)/F$107</f>
        <v>0.32594232870165879</v>
      </c>
      <c r="G154" s="17">
        <f>('Q1'!AB45-G$106)/G$107</f>
        <v>-0.39563105735383386</v>
      </c>
      <c r="H154" s="17">
        <f>('Q1'!AC45-H$106)/H$107</f>
        <v>-0.87065055411584202</v>
      </c>
      <c r="I154" s="17">
        <f>('Q1'!AD45-I$106)/I$107</f>
        <v>1.0983559801071598</v>
      </c>
      <c r="J154" s="17">
        <f>('Q1'!AE45-J$106)/J$107</f>
        <v>-0.31023499546757377</v>
      </c>
      <c r="K154" s="17">
        <f>('Q1'!AF45-K$106)/K$107</f>
        <v>0.26330442307133745</v>
      </c>
      <c r="L154" s="17">
        <f>('Q1'!AG45-L$106)/L$107</f>
        <v>-0.11613464016550347</v>
      </c>
      <c r="M154" s="17">
        <f>('Q1'!AH45-M$106)/M$107</f>
        <v>-0.24216892857114161</v>
      </c>
      <c r="N154" s="17">
        <f>('Q1'!AI45-N$106)/N$107</f>
        <v>0.32221687190996284</v>
      </c>
      <c r="O154" s="17">
        <f>('Q1'!AJ45-O$106)/O$107</f>
        <v>-0.10301381025593229</v>
      </c>
      <c r="P154" s="17">
        <f>('Q1'!AK45-P$106)/P$107</f>
        <v>-0.98904473304325169</v>
      </c>
      <c r="Q154" s="17">
        <f>('Q1'!AL45-Q$106)/Q$107</f>
        <v>0.18570792105081957</v>
      </c>
      <c r="R154" s="17">
        <f>('Q1'!AM45-R$106)/R$107</f>
        <v>0.4523901170759555</v>
      </c>
      <c r="S154" s="17">
        <f>('Q1'!AN45-S$106)/S$107</f>
        <v>1.0057942792638139</v>
      </c>
    </row>
    <row r="155" spans="2:19">
      <c r="B155" s="17">
        <f>('Q1'!W46-B$106)/B$107</f>
        <v>0.8594881377377197</v>
      </c>
      <c r="C155" s="17">
        <f>('Q1'!X46-C$106)/C$107</f>
        <v>-0.27135123034712627</v>
      </c>
      <c r="D155" s="17">
        <f>('Q1'!Y46-D$106)/D$107</f>
        <v>0.41063222851205783</v>
      </c>
      <c r="E155" s="17">
        <f>('Q1'!Z46-E$106)/E$107</f>
        <v>0.33258395006035779</v>
      </c>
      <c r="F155" s="17">
        <f>('Q1'!AA46-F$106)/F$107</f>
        <v>1.040108695533599</v>
      </c>
      <c r="G155" s="17">
        <f>('Q1'!AB46-G$106)/G$107</f>
        <v>1.0034981949598778</v>
      </c>
      <c r="H155" s="17">
        <f>('Q1'!AC46-H$106)/H$107</f>
        <v>1.5442807017566069</v>
      </c>
      <c r="I155" s="17">
        <f>('Q1'!AD46-I$106)/I$107</f>
        <v>1.0113447965048263</v>
      </c>
      <c r="J155" s="17">
        <f>('Q1'!AE46-J$106)/J$107</f>
        <v>1.4128325453498622</v>
      </c>
      <c r="K155" s="17">
        <f>('Q1'!AF46-K$106)/K$107</f>
        <v>0.59591913326000134</v>
      </c>
      <c r="L155" s="17">
        <f>('Q1'!AG46-L$106)/L$107</f>
        <v>0.341455837056649</v>
      </c>
      <c r="M155" s="17">
        <f>('Q1'!AH46-M$106)/M$107</f>
        <v>0.86629350581103037</v>
      </c>
      <c r="N155" s="17">
        <f>('Q1'!AI46-N$106)/N$107</f>
        <v>1.0105996417760452</v>
      </c>
      <c r="O155" s="17">
        <f>('Q1'!AJ46-O$106)/O$107</f>
        <v>2.6245416169768876</v>
      </c>
      <c r="P155" s="17">
        <f>('Q1'!AK46-P$106)/P$107</f>
        <v>0.71399567985142898</v>
      </c>
      <c r="Q155" s="17">
        <f>('Q1'!AL46-Q$106)/Q$107</f>
        <v>0.79820813131916657</v>
      </c>
      <c r="R155" s="17">
        <f>('Q1'!AM46-R$106)/R$107</f>
        <v>-0.89414776902248949</v>
      </c>
      <c r="S155" s="17">
        <f>('Q1'!AN46-S$106)/S$107</f>
        <v>8.5368562164182205E-2</v>
      </c>
    </row>
    <row r="156" spans="2:19">
      <c r="B156" s="17">
        <f>('Q1'!W47-B$106)/B$107</f>
        <v>0.19479781512071823</v>
      </c>
      <c r="C156" s="17">
        <f>('Q1'!X47-C$106)/C$107</f>
        <v>-0.1285695822133068</v>
      </c>
      <c r="D156" s="17">
        <f>('Q1'!Y47-D$106)/D$107</f>
        <v>-0.17954619737164149</v>
      </c>
      <c r="E156" s="17">
        <f>('Q1'!Z47-E$106)/E$107</f>
        <v>-2.8129275332203232E-2</v>
      </c>
      <c r="F156" s="17">
        <f>('Q1'!AA47-F$106)/F$107</f>
        <v>1.259739513146555</v>
      </c>
      <c r="G156" s="17">
        <f>('Q1'!AB47-G$106)/G$107</f>
        <v>0.17817519688803093</v>
      </c>
      <c r="H156" s="17">
        <f>('Q1'!AC47-H$106)/H$107</f>
        <v>-5.9086062539119771E-2</v>
      </c>
      <c r="I156" s="17">
        <f>('Q1'!AD47-I$106)/I$107</f>
        <v>-0.46753973750687433</v>
      </c>
      <c r="J156" s="17">
        <f>('Q1'!AE47-J$106)/J$107</f>
        <v>-0.34320733869945896</v>
      </c>
      <c r="K156" s="17">
        <f>('Q1'!AF47-K$106)/K$107</f>
        <v>0.96249170682577012</v>
      </c>
      <c r="L156" s="17">
        <f>('Q1'!AG47-L$106)/L$107</f>
        <v>-0.38275241682392691</v>
      </c>
      <c r="M156" s="17">
        <f>('Q1'!AH47-M$106)/M$107</f>
        <v>-0.40781090538283155</v>
      </c>
      <c r="N156" s="17">
        <f>('Q1'!AI47-N$106)/N$107</f>
        <v>9.8386689112905878E-2</v>
      </c>
      <c r="O156" s="17">
        <f>('Q1'!AJ47-O$106)/O$107</f>
        <v>-0.94707244590381479</v>
      </c>
      <c r="P156" s="17">
        <f>('Q1'!AK47-P$106)/P$107</f>
        <v>-1.0153375851566102</v>
      </c>
      <c r="Q156" s="17">
        <f>('Q1'!AL47-Q$106)/Q$107</f>
        <v>-0.23653443366766624</v>
      </c>
      <c r="R156" s="17">
        <f>('Q1'!AM47-R$106)/R$107</f>
        <v>-0.28583102415982203</v>
      </c>
      <c r="S156" s="17">
        <f>('Q1'!AN47-S$106)/S$107</f>
        <v>6.9052169289053972E-2</v>
      </c>
    </row>
    <row r="157" spans="2:19">
      <c r="B157" s="17">
        <f>('Q1'!W48-B$106)/B$107</f>
        <v>0.10605384318978837</v>
      </c>
      <c r="C157" s="17">
        <f>('Q1'!X48-C$106)/C$107</f>
        <v>0.50761711670944842</v>
      </c>
      <c r="D157" s="17">
        <f>('Q1'!Y48-D$106)/D$107</f>
        <v>0.314470601192891</v>
      </c>
      <c r="E157" s="17">
        <f>('Q1'!Z48-E$106)/E$107</f>
        <v>0.25163138359920934</v>
      </c>
      <c r="F157" s="17">
        <f>('Q1'!AA48-F$106)/F$107</f>
        <v>-7.5981560892520849E-3</v>
      </c>
      <c r="G157" s="17">
        <f>('Q1'!AB48-G$106)/G$107</f>
        <v>-0.38578365598090641</v>
      </c>
      <c r="H157" s="17">
        <f>('Q1'!AC48-H$106)/H$107</f>
        <v>0.5776721973456409</v>
      </c>
      <c r="I157" s="17">
        <f>('Q1'!AD48-I$106)/I$107</f>
        <v>0.59569961886318379</v>
      </c>
      <c r="J157" s="17">
        <f>('Q1'!AE48-J$106)/J$107</f>
        <v>1.8583798335809891</v>
      </c>
      <c r="K157" s="17">
        <f>('Q1'!AF48-K$106)/K$107</f>
        <v>0.88109266163969302</v>
      </c>
      <c r="L157" s="17">
        <f>('Q1'!AG48-L$106)/L$107</f>
        <v>0.49253891478751738</v>
      </c>
      <c r="M157" s="17">
        <f>('Q1'!AH48-M$106)/M$107</f>
        <v>0.37664596082305318</v>
      </c>
      <c r="N157" s="17">
        <f>('Q1'!AI48-N$106)/N$107</f>
        <v>0.31063205751891793</v>
      </c>
      <c r="O157" s="17">
        <f>('Q1'!AJ48-O$106)/O$107</f>
        <v>0.74291273342459241</v>
      </c>
      <c r="P157" s="17">
        <f>('Q1'!AK48-P$106)/P$107</f>
        <v>-3.4195627022352876E-2</v>
      </c>
      <c r="Q157" s="17">
        <f>('Q1'!AL48-Q$106)/Q$107</f>
        <v>-0.36603365482712708</v>
      </c>
      <c r="R157" s="17">
        <f>('Q1'!AM48-R$106)/R$107</f>
        <v>0.65567545948785066</v>
      </c>
      <c r="S157" s="17">
        <f>('Q1'!AN48-S$106)/S$107</f>
        <v>0.25874090395387528</v>
      </c>
    </row>
    <row r="158" spans="2:19">
      <c r="B158" s="17">
        <f>('Q1'!W49-B$106)/B$107</f>
        <v>1.6720963260751148E-2</v>
      </c>
      <c r="C158" s="17">
        <f>('Q1'!X49-C$106)/C$107</f>
        <v>0.12007390214778202</v>
      </c>
      <c r="D158" s="17">
        <f>('Q1'!Y49-D$106)/D$107</f>
        <v>0.56467371966782109</v>
      </c>
      <c r="E158" s="17">
        <f>('Q1'!Z49-E$106)/E$107</f>
        <v>0.14216352408168489</v>
      </c>
      <c r="F158" s="17">
        <f>('Q1'!AA49-F$106)/F$107</f>
        <v>0.57641674938059129</v>
      </c>
      <c r="G158" s="17">
        <f>('Q1'!AB49-G$106)/G$107</f>
        <v>4.4636458684656254E-3</v>
      </c>
      <c r="H158" s="17">
        <f>('Q1'!AC49-H$106)/H$107</f>
        <v>-0.59967836980471634</v>
      </c>
      <c r="I158" s="17">
        <f>('Q1'!AD49-I$106)/I$107</f>
        <v>8.7585324528592107E-2</v>
      </c>
      <c r="J158" s="17">
        <f>('Q1'!AE49-J$106)/J$107</f>
        <v>-0.11632159039269158</v>
      </c>
      <c r="K158" s="17">
        <f>('Q1'!AF49-K$106)/K$107</f>
        <v>0.54035809885303365</v>
      </c>
      <c r="L158" s="17">
        <f>('Q1'!AG49-L$106)/L$107</f>
        <v>0.73577650833509534</v>
      </c>
      <c r="M158" s="17">
        <f>('Q1'!AH49-M$106)/M$107</f>
        <v>0.10248694888513832</v>
      </c>
      <c r="N158" s="17">
        <f>('Q1'!AI49-N$106)/N$107</f>
        <v>-0.4208500546073321</v>
      </c>
      <c r="O158" s="17">
        <f>('Q1'!AJ49-O$106)/O$107</f>
        <v>-0.31669938790809776</v>
      </c>
      <c r="P158" s="17">
        <f>('Q1'!AK49-P$106)/P$107</f>
        <v>0.27047216675332636</v>
      </c>
      <c r="Q158" s="17">
        <f>('Q1'!AL49-Q$106)/Q$107</f>
        <v>-0.50032349654177488</v>
      </c>
      <c r="R158" s="17">
        <f>('Q1'!AM49-R$106)/R$107</f>
        <v>-2.1933832799737891E-2</v>
      </c>
      <c r="S158" s="17">
        <f>('Q1'!AN49-S$106)/S$107</f>
        <v>0.88688251576708776</v>
      </c>
    </row>
    <row r="159" spans="2:19">
      <c r="B159" s="17">
        <f>('Q1'!W50-B$106)/B$107</f>
        <v>-3.7740013590966882E-2</v>
      </c>
      <c r="C159" s="17">
        <f>('Q1'!X50-C$106)/C$107</f>
        <v>-4.1557430042223245E-2</v>
      </c>
      <c r="D159" s="17">
        <f>('Q1'!Y50-D$106)/D$107</f>
        <v>0.63320197833258873</v>
      </c>
      <c r="E159" s="17">
        <f>('Q1'!Z50-E$106)/E$107</f>
        <v>0.18270176320704531</v>
      </c>
      <c r="F159" s="17">
        <f>('Q1'!AA50-F$106)/F$107</f>
        <v>-1.0604225939100831</v>
      </c>
      <c r="G159" s="17">
        <f>('Q1'!AB50-G$106)/G$107</f>
        <v>0.72879918863805504</v>
      </c>
      <c r="H159" s="17">
        <f>('Q1'!AC50-H$106)/H$107</f>
        <v>0.13532789304678464</v>
      </c>
      <c r="I159" s="17">
        <f>('Q1'!AD50-I$106)/I$107</f>
        <v>0.22207220308522749</v>
      </c>
      <c r="J159" s="17">
        <f>('Q1'!AE50-J$106)/J$107</f>
        <v>0.14625506208084785</v>
      </c>
      <c r="K159" s="17">
        <f>('Q1'!AF50-K$106)/K$107</f>
        <v>-5.8651880165353255E-2</v>
      </c>
      <c r="L159" s="17">
        <f>('Q1'!AG50-L$106)/L$107</f>
        <v>0.21926944260246348</v>
      </c>
      <c r="M159" s="17">
        <f>('Q1'!AH50-M$106)/M$107</f>
        <v>-0.67281013742007678</v>
      </c>
      <c r="N159" s="17">
        <f>('Q1'!AI50-N$106)/N$107</f>
        <v>-0.13043383153498547</v>
      </c>
      <c r="O159" s="17">
        <f>('Q1'!AJ50-O$106)/O$107</f>
        <v>0.22561311347782048</v>
      </c>
      <c r="P159" s="17">
        <f>('Q1'!AK50-P$106)/P$107</f>
        <v>0.31204630677274886</v>
      </c>
      <c r="Q159" s="17">
        <f>('Q1'!AL50-Q$106)/Q$107</f>
        <v>-1.3168945666531993</v>
      </c>
      <c r="R159" s="17">
        <f>('Q1'!AM50-R$106)/R$107</f>
        <v>-0.65463353099921873</v>
      </c>
      <c r="S159" s="17">
        <f>('Q1'!AN50-S$106)/S$107</f>
        <v>-0.47810172001104534</v>
      </c>
    </row>
    <row r="160" spans="2:19">
      <c r="B160" s="17">
        <f>('Q1'!W51-B$106)/B$107</f>
        <v>-8.912256422912589E-3</v>
      </c>
      <c r="C160" s="17">
        <f>('Q1'!X51-C$106)/C$107</f>
        <v>-0.19661293155941098</v>
      </c>
      <c r="D160" s="17">
        <f>('Q1'!Y51-D$106)/D$107</f>
        <v>0.13894009243022931</v>
      </c>
      <c r="E160" s="17">
        <f>('Q1'!Z51-E$106)/E$107</f>
        <v>0.22193246025424043</v>
      </c>
      <c r="F160" s="17">
        <f>('Q1'!AA51-F$106)/F$107</f>
        <v>0.19092990342751368</v>
      </c>
      <c r="G160" s="17">
        <f>('Q1'!AB51-G$106)/G$107</f>
        <v>0.17577783183364012</v>
      </c>
      <c r="H160" s="17">
        <f>('Q1'!AC51-H$106)/H$107</f>
        <v>0.7809386143421434</v>
      </c>
      <c r="I160" s="17">
        <f>('Q1'!AD51-I$106)/I$107</f>
        <v>0.30622789622291269</v>
      </c>
      <c r="J160" s="17">
        <f>('Q1'!AE51-J$106)/J$107</f>
        <v>1.0881913139718473</v>
      </c>
      <c r="K160" s="17">
        <f>('Q1'!AF51-K$106)/K$107</f>
        <v>-0.71814606190516284</v>
      </c>
      <c r="L160" s="17">
        <f>('Q1'!AG51-L$106)/L$107</f>
        <v>-0.44438839892616483</v>
      </c>
      <c r="M160" s="17">
        <f>('Q1'!AH51-M$106)/M$107</f>
        <v>-0.35000783258388929</v>
      </c>
      <c r="N160" s="17">
        <f>('Q1'!AI51-N$106)/N$107</f>
        <v>-0.16756637465426197</v>
      </c>
      <c r="O160" s="17">
        <f>('Q1'!AJ51-O$106)/O$107</f>
        <v>0.53454474082845049</v>
      </c>
      <c r="P160" s="17">
        <f>('Q1'!AK51-P$106)/P$107</f>
        <v>0.94642653436573265</v>
      </c>
      <c r="Q160" s="17">
        <f>('Q1'!AL51-Q$106)/Q$107</f>
        <v>-0.1213735530296237</v>
      </c>
      <c r="R160" s="17">
        <f>('Q1'!AM51-R$106)/R$107</f>
        <v>-0.90159143247854623</v>
      </c>
      <c r="S160" s="17">
        <f>('Q1'!AN51-S$106)/S$107</f>
        <v>-0.74551936989265444</v>
      </c>
    </row>
    <row r="161" spans="2:19">
      <c r="B161" s="17">
        <f>('Q1'!W52-B$106)/B$107</f>
        <v>3.3100516966058605E-2</v>
      </c>
      <c r="C161" s="17">
        <f>('Q1'!X52-C$106)/C$107</f>
        <v>-5.9348736030222962E-2</v>
      </c>
      <c r="D161" s="17">
        <f>('Q1'!Y52-D$106)/D$107</f>
        <v>-1.349880966441757</v>
      </c>
      <c r="E161" s="17">
        <f>('Q1'!Z52-E$106)/E$107</f>
        <v>-0.62411088668392456</v>
      </c>
      <c r="F161" s="17">
        <f>('Q1'!AA52-F$106)/F$107</f>
        <v>-1.4431055617276094</v>
      </c>
      <c r="G161" s="17">
        <f>('Q1'!AB52-G$106)/G$107</f>
        <v>-0.78586230678273838</v>
      </c>
      <c r="H161" s="17">
        <f>('Q1'!AC52-H$106)/H$107</f>
        <v>-0.3553008300807467</v>
      </c>
      <c r="I161" s="17">
        <f>('Q1'!AD52-I$106)/I$107</f>
        <v>2.1867557945931756E-2</v>
      </c>
      <c r="J161" s="17">
        <f>('Q1'!AE52-J$106)/J$107</f>
        <v>-8.6617438830718499E-2</v>
      </c>
      <c r="K161" s="17">
        <f>('Q1'!AF52-K$106)/K$107</f>
        <v>0.26706576124566134</v>
      </c>
      <c r="L161" s="17">
        <f>('Q1'!AG52-L$106)/L$107</f>
        <v>-0.71841540927503056</v>
      </c>
      <c r="M161" s="17">
        <f>('Q1'!AH52-M$106)/M$107</f>
        <v>0.2964428160930731</v>
      </c>
      <c r="N161" s="17">
        <f>('Q1'!AI52-N$106)/N$107</f>
        <v>-0.16251412128801568</v>
      </c>
      <c r="O161" s="17">
        <f>('Q1'!AJ52-O$106)/O$107</f>
        <v>-1.2253092694560503</v>
      </c>
      <c r="P161" s="17">
        <f>('Q1'!AK52-P$106)/P$107</f>
        <v>-0.65450927528997538</v>
      </c>
      <c r="Q161" s="17">
        <f>('Q1'!AL52-Q$106)/Q$107</f>
        <v>-0.11264701627548669</v>
      </c>
      <c r="R161" s="17">
        <f>('Q1'!AM52-R$106)/R$107</f>
        <v>0.45075882171094317</v>
      </c>
      <c r="S161" s="17">
        <f>('Q1'!AN52-S$106)/S$107</f>
        <v>-0.65118043606517106</v>
      </c>
    </row>
    <row r="162" spans="2:19">
      <c r="B162" s="17">
        <f>('Q1'!W53-B$106)/B$107</f>
        <v>-0.29779119455331804</v>
      </c>
      <c r="C162" s="17">
        <f>('Q1'!X53-C$106)/C$107</f>
        <v>0.20434299258039648</v>
      </c>
      <c r="D162" s="17">
        <f>('Q1'!Y53-D$106)/D$107</f>
        <v>-0.27269350817428528</v>
      </c>
      <c r="E162" s="17">
        <f>('Q1'!Z53-E$106)/E$107</f>
        <v>-0.25169877430701953</v>
      </c>
      <c r="F162" s="17">
        <f>('Q1'!AA53-F$106)/F$107</f>
        <v>0.31988282998517509</v>
      </c>
      <c r="G162" s="17">
        <f>('Q1'!AB53-G$106)/G$107</f>
        <v>-0.27972040638846318</v>
      </c>
      <c r="H162" s="17">
        <f>('Q1'!AC53-H$106)/H$107</f>
        <v>-0.60005766130106697</v>
      </c>
      <c r="I162" s="17">
        <f>('Q1'!AD53-I$106)/I$107</f>
        <v>0.32522070022811755</v>
      </c>
      <c r="J162" s="17">
        <f>('Q1'!AE53-J$106)/J$107</f>
        <v>0.17024449672353995</v>
      </c>
      <c r="K162" s="17">
        <f>('Q1'!AF53-K$106)/K$107</f>
        <v>-0.26176786534803098</v>
      </c>
      <c r="L162" s="17">
        <f>('Q1'!AG53-L$106)/L$107</f>
        <v>0.27771741409425121</v>
      </c>
      <c r="M162" s="17">
        <f>('Q1'!AH53-M$106)/M$107</f>
        <v>0.11195554265466914</v>
      </c>
      <c r="N162" s="17">
        <f>('Q1'!AI53-N$106)/N$107</f>
        <v>0.38187111875207758</v>
      </c>
      <c r="O162" s="17">
        <f>('Q1'!AJ53-O$106)/O$107</f>
        <v>0.43084107807431737</v>
      </c>
      <c r="P162" s="17">
        <f>('Q1'!AK53-P$106)/P$107</f>
        <v>0.56667636916434549</v>
      </c>
      <c r="Q162" s="17">
        <f>('Q1'!AL53-Q$106)/Q$107</f>
        <v>0.70825487860872838</v>
      </c>
      <c r="R162" s="17">
        <f>('Q1'!AM53-R$106)/R$107</f>
        <v>-0.10177460030976325</v>
      </c>
      <c r="S162" s="17">
        <f>('Q1'!AN53-S$106)/S$107</f>
        <v>-2.9410711823970755E-2</v>
      </c>
    </row>
    <row r="163" spans="2:19">
      <c r="B163" s="17">
        <f>('Q1'!W54-B$106)/B$107</f>
        <v>-0.22602245974462043</v>
      </c>
      <c r="C163" s="17">
        <f>('Q1'!X54-C$106)/C$107</f>
        <v>6.9626113256565605E-2</v>
      </c>
      <c r="D163" s="17">
        <f>('Q1'!Y54-D$106)/D$107</f>
        <v>0.48905016601505669</v>
      </c>
      <c r="E163" s="17">
        <f>('Q1'!Z54-E$106)/E$107</f>
        <v>-1.1263448288727851E-2</v>
      </c>
      <c r="F163" s="17">
        <f>('Q1'!AA54-F$106)/F$107</f>
        <v>0.35039654760516797</v>
      </c>
      <c r="G163" s="17">
        <f>('Q1'!AB54-G$106)/G$107</f>
        <v>0.15280530146887067</v>
      </c>
      <c r="H163" s="17">
        <f>('Q1'!AC54-H$106)/H$107</f>
        <v>0.64086096497075873</v>
      </c>
      <c r="I163" s="17">
        <f>('Q1'!AD54-I$106)/I$107</f>
        <v>4.4583534805706412E-2</v>
      </c>
      <c r="J163" s="17">
        <f>('Q1'!AE54-J$106)/J$107</f>
        <v>0.43248152493992631</v>
      </c>
      <c r="K163" s="17">
        <f>('Q1'!AF54-K$106)/K$107</f>
        <v>-0.48707456699206458</v>
      </c>
      <c r="L163" s="17">
        <f>('Q1'!AG54-L$106)/L$107</f>
        <v>3.0091631355461501E-2</v>
      </c>
      <c r="M163" s="17">
        <f>('Q1'!AH54-M$106)/M$107</f>
        <v>-0.44444294322392669</v>
      </c>
      <c r="N163" s="17">
        <f>('Q1'!AI54-N$106)/N$107</f>
        <v>-0.34646077230582528</v>
      </c>
      <c r="O163" s="17">
        <f>('Q1'!AJ54-O$106)/O$107</f>
        <v>-0.75316776813288189</v>
      </c>
      <c r="P163" s="17">
        <f>('Q1'!AK54-P$106)/P$107</f>
        <v>1.210697635574006</v>
      </c>
      <c r="Q163" s="17">
        <f>('Q1'!AL54-Q$106)/Q$107</f>
        <v>0.78068894858479498</v>
      </c>
      <c r="R163" s="17">
        <f>('Q1'!AM54-R$106)/R$107</f>
        <v>0.9582436093742247</v>
      </c>
      <c r="S163" s="17">
        <f>('Q1'!AN54-S$106)/S$107</f>
        <v>-0.13663609320207803</v>
      </c>
    </row>
    <row r="164" spans="2:19">
      <c r="B164" s="17">
        <f>('Q1'!W55-B$106)/B$107</f>
        <v>-0.31154534047916327</v>
      </c>
      <c r="C164" s="17">
        <f>('Q1'!X55-C$106)/C$107</f>
        <v>3.7545915247516659E-2</v>
      </c>
      <c r="D164" s="17">
        <f>('Q1'!Y55-D$106)/D$107</f>
        <v>-0.56577923254343998</v>
      </c>
      <c r="E164" s="17">
        <f>('Q1'!Z55-E$106)/E$107</f>
        <v>-0.46949379669354802</v>
      </c>
      <c r="F164" s="17">
        <f>('Q1'!AA55-F$106)/F$107</f>
        <v>0.40509302032430694</v>
      </c>
      <c r="G164" s="17">
        <f>('Q1'!AB55-G$106)/G$107</f>
        <v>-0.24122028206887125</v>
      </c>
      <c r="H164" s="17">
        <f>('Q1'!AC55-H$106)/H$107</f>
        <v>-1.4093710967565851</v>
      </c>
      <c r="I164" s="17">
        <f>('Q1'!AD55-I$106)/I$107</f>
        <v>-0.97717446335366231</v>
      </c>
      <c r="J164" s="17">
        <f>('Q1'!AE55-J$106)/J$107</f>
        <v>-0.88010658140637632</v>
      </c>
      <c r="K164" s="17">
        <f>('Q1'!AF55-K$106)/K$107</f>
        <v>-1.1860307201132967</v>
      </c>
      <c r="L164" s="17">
        <f>('Q1'!AG55-L$106)/L$107</f>
        <v>-0.34121245628161057</v>
      </c>
      <c r="M164" s="17">
        <f>('Q1'!AH55-M$106)/M$107</f>
        <v>-0.7589989580089983</v>
      </c>
      <c r="N164" s="17">
        <f>('Q1'!AI55-N$106)/N$107</f>
        <v>-7.9919837832628918E-2</v>
      </c>
      <c r="O164" s="17">
        <f>('Q1'!AJ55-O$106)/O$107</f>
        <v>0.53161773412602709</v>
      </c>
      <c r="P164" s="17">
        <f>('Q1'!AK55-P$106)/P$107</f>
        <v>-0.28868732929984597</v>
      </c>
      <c r="Q164" s="17">
        <f>('Q1'!AL55-Q$106)/Q$107</f>
        <v>-2.3953475297431277</v>
      </c>
      <c r="R164" s="17">
        <f>('Q1'!AM55-R$106)/R$107</f>
        <v>-0.18006485766265201</v>
      </c>
      <c r="S164" s="17">
        <f>('Q1'!AN55-S$106)/S$107</f>
        <v>-0.26595533660358706</v>
      </c>
    </row>
    <row r="165" spans="2:19">
      <c r="B165" s="17">
        <f>('Q1'!W56-B$106)/B$107</f>
        <v>0.79680775134739645</v>
      </c>
      <c r="C165" s="17">
        <f>('Q1'!X56-C$106)/C$107</f>
        <v>0.43464199766308864</v>
      </c>
      <c r="D165" s="17">
        <f>('Q1'!Y56-D$106)/D$107</f>
        <v>0.69246320960145757</v>
      </c>
      <c r="E165" s="17">
        <f>('Q1'!Z56-E$106)/E$107</f>
        <v>0.54404922991722959</v>
      </c>
      <c r="F165" s="17">
        <f>('Q1'!AA56-F$106)/F$107</f>
        <v>-0.29186533174567197</v>
      </c>
      <c r="G165" s="17">
        <f>('Q1'!AB56-G$106)/G$107</f>
        <v>-0.81002281211938498</v>
      </c>
      <c r="H165" s="17">
        <f>('Q1'!AC56-H$106)/H$107</f>
        <v>-9.2425202134992071E-2</v>
      </c>
      <c r="I165" s="17">
        <f>('Q1'!AD56-I$106)/I$107</f>
        <v>1.3906312221692965</v>
      </c>
      <c r="J165" s="17">
        <f>('Q1'!AE56-J$106)/J$107</f>
        <v>0.12072070963617582</v>
      </c>
      <c r="K165" s="17">
        <f>('Q1'!AF56-K$106)/K$107</f>
        <v>0.29942511442535291</v>
      </c>
      <c r="L165" s="17">
        <f>('Q1'!AG56-L$106)/L$107</f>
        <v>-0.16932730592560499</v>
      </c>
      <c r="M165" s="17">
        <f>('Q1'!AH56-M$106)/M$107</f>
        <v>-0.30088985823255737</v>
      </c>
      <c r="N165" s="17">
        <f>('Q1'!AI56-N$106)/N$107</f>
        <v>0.16359183761008478</v>
      </c>
      <c r="O165" s="17">
        <f>('Q1'!AJ56-O$106)/O$107</f>
        <v>0.47778173629542492</v>
      </c>
      <c r="P165" s="17">
        <f>('Q1'!AK56-P$106)/P$107</f>
        <v>0.36810005577579802</v>
      </c>
      <c r="Q165" s="17">
        <f>('Q1'!AL56-Q$106)/Q$107</f>
        <v>-0.32715273719403698</v>
      </c>
      <c r="R165" s="17">
        <f>('Q1'!AM56-R$106)/R$107</f>
        <v>-0.67038942379700583</v>
      </c>
      <c r="S165" s="17">
        <f>('Q1'!AN56-S$106)/S$107</f>
        <v>-0.47563699188428271</v>
      </c>
    </row>
    <row r="166" spans="2:19">
      <c r="B166" s="17">
        <f>('Q1'!W57-B$106)/B$107</f>
        <v>0.35521483360745409</v>
      </c>
      <c r="C166" s="17">
        <f>('Q1'!X57-C$106)/C$107</f>
        <v>-0.42490876407159717</v>
      </c>
      <c r="D166" s="17">
        <f>('Q1'!Y57-D$106)/D$107</f>
        <v>-8.352999616012724E-2</v>
      </c>
      <c r="E166" s="17">
        <f>('Q1'!Z57-E$106)/E$107</f>
        <v>-0.47794537907402612</v>
      </c>
      <c r="F166" s="17">
        <f>('Q1'!AA57-F$106)/F$107</f>
        <v>0.78917312482531565</v>
      </c>
      <c r="G166" s="17">
        <f>('Q1'!AB57-G$106)/G$107</f>
        <v>0.29037931188004396</v>
      </c>
      <c r="H166" s="17">
        <f>('Q1'!AC57-H$106)/H$107</f>
        <v>6.4659152102254064E-2</v>
      </c>
      <c r="I166" s="17">
        <f>('Q1'!AD57-I$106)/I$107</f>
        <v>-0.79975851825841948</v>
      </c>
      <c r="J166" s="17">
        <f>('Q1'!AE57-J$106)/J$107</f>
        <v>-0.31927300871830971</v>
      </c>
      <c r="K166" s="17">
        <f>('Q1'!AF57-K$106)/K$107</f>
        <v>-1.030662385336643</v>
      </c>
      <c r="L166" s="17">
        <f>('Q1'!AG57-L$106)/L$107</f>
        <v>0.20053267575457284</v>
      </c>
      <c r="M166" s="17">
        <f>('Q1'!AH57-M$106)/M$107</f>
        <v>-0.40254529847188497</v>
      </c>
      <c r="N166" s="17">
        <f>('Q1'!AI57-N$106)/N$107</f>
        <v>0.16582175939332977</v>
      </c>
      <c r="O166" s="17">
        <f>('Q1'!AJ57-O$106)/O$107</f>
        <v>0.48106945128010392</v>
      </c>
      <c r="P166" s="17">
        <f>('Q1'!AK57-P$106)/P$107</f>
        <v>0.8838257151119161</v>
      </c>
      <c r="Q166" s="17">
        <f>('Q1'!AL57-Q$106)/Q$107</f>
        <v>0.38714619331738848</v>
      </c>
      <c r="R166" s="17">
        <f>('Q1'!AM57-R$106)/R$107</f>
        <v>4.7631175674333011E-2</v>
      </c>
      <c r="S166" s="17">
        <f>('Q1'!AN57-S$106)/S$107</f>
        <v>0.10652944273023179</v>
      </c>
    </row>
    <row r="167" spans="2:19">
      <c r="B167" s="17">
        <f>('Q1'!W58-B$106)/B$107</f>
        <v>9.6491840591138453E-2</v>
      </c>
      <c r="C167" s="17">
        <f>('Q1'!X58-C$106)/C$107</f>
        <v>0.30706040582093808</v>
      </c>
      <c r="D167" s="17">
        <f>('Q1'!Y58-D$106)/D$107</f>
        <v>-0.46327150570423731</v>
      </c>
      <c r="E167" s="17">
        <f>('Q1'!Z58-E$106)/E$107</f>
        <v>2.4467312888447414E-2</v>
      </c>
      <c r="F167" s="17">
        <f>('Q1'!AA58-F$106)/F$107</f>
        <v>1.0041645211758299</v>
      </c>
      <c r="G167" s="17">
        <f>('Q1'!AB58-G$106)/G$107</f>
        <v>0.81344217072930169</v>
      </c>
      <c r="H167" s="17">
        <f>('Q1'!AC58-H$106)/H$107</f>
        <v>-1.0294257887728884</v>
      </c>
      <c r="I167" s="17">
        <f>('Q1'!AD58-I$106)/I$107</f>
        <v>-1.2185577329167148</v>
      </c>
      <c r="J167" s="17">
        <f>('Q1'!AE58-J$106)/J$107</f>
        <v>0.51535560295589167</v>
      </c>
      <c r="K167" s="17">
        <f>('Q1'!AF58-K$106)/K$107</f>
        <v>-0.95870513453670769</v>
      </c>
      <c r="L167" s="17">
        <f>('Q1'!AG58-L$106)/L$107</f>
        <v>0.2282369640680868</v>
      </c>
      <c r="M167" s="17">
        <f>('Q1'!AH58-M$106)/M$107</f>
        <v>0.17565873839545901</v>
      </c>
      <c r="N167" s="17">
        <f>('Q1'!AI58-N$106)/N$107</f>
        <v>-9.9642598316732583E-2</v>
      </c>
      <c r="O167" s="17">
        <f>('Q1'!AJ58-O$106)/O$107</f>
        <v>1.5801919048935824</v>
      </c>
      <c r="P167" s="17">
        <f>('Q1'!AK58-P$106)/P$107</f>
        <v>2.9524033508995675</v>
      </c>
      <c r="Q167" s="17">
        <f>('Q1'!AL58-Q$106)/Q$107</f>
        <v>-1.4582712539011673</v>
      </c>
      <c r="R167" s="17">
        <f>('Q1'!AM58-R$106)/R$107</f>
        <v>-5.1729215302003676E-3</v>
      </c>
      <c r="S167" s="17">
        <f>('Q1'!AN58-S$106)/S$107</f>
        <v>0.55455894554171792</v>
      </c>
    </row>
    <row r="168" spans="2:19">
      <c r="B168" s="17">
        <f>('Q1'!W59-B$106)/B$107</f>
        <v>0.38230310471770973</v>
      </c>
      <c r="C168" s="17">
        <f>('Q1'!X59-C$106)/C$107</f>
        <v>0.20655610994147408</v>
      </c>
      <c r="D168" s="17">
        <f>('Q1'!Y59-D$106)/D$107</f>
        <v>-0.32046360889025682</v>
      </c>
      <c r="E168" s="17">
        <f>('Q1'!Z59-E$106)/E$107</f>
        <v>0.12894824043584355</v>
      </c>
      <c r="F168" s="17">
        <f>('Q1'!AA59-F$106)/F$107</f>
        <v>-0.44540316443702271</v>
      </c>
      <c r="G168" s="17">
        <f>('Q1'!AB59-G$106)/G$107</f>
        <v>0.59804567438566758</v>
      </c>
      <c r="H168" s="17">
        <f>('Q1'!AC59-H$106)/H$107</f>
        <v>2.2510907171773837</v>
      </c>
      <c r="I168" s="17">
        <f>('Q1'!AD59-I$106)/I$107</f>
        <v>0.83336418990616967</v>
      </c>
      <c r="J168" s="17">
        <f>('Q1'!AE59-J$106)/J$107</f>
        <v>0.47631892886214122</v>
      </c>
      <c r="K168" s="17">
        <f>('Q1'!AF59-K$106)/K$107</f>
        <v>-0.74121513373894377</v>
      </c>
      <c r="L168" s="17">
        <f>('Q1'!AG59-L$106)/L$107</f>
        <v>0.45938344865005848</v>
      </c>
      <c r="M168" s="17">
        <f>('Q1'!AH59-M$106)/M$107</f>
        <v>0.1699226639872729</v>
      </c>
      <c r="N168" s="17">
        <f>('Q1'!AI59-N$106)/N$107</f>
        <v>0.29604405934001649</v>
      </c>
      <c r="O168" s="17">
        <f>('Q1'!AJ59-O$106)/O$107</f>
        <v>-0.14402004105213129</v>
      </c>
      <c r="P168" s="17">
        <f>('Q1'!AK59-P$106)/P$107</f>
        <v>2.2951728981691368</v>
      </c>
      <c r="Q168" s="17">
        <f>('Q1'!AL59-Q$106)/Q$107</f>
        <v>1.1009761526742261</v>
      </c>
      <c r="R168" s="17">
        <f>('Q1'!AM59-R$106)/R$107</f>
        <v>-0.66669676839354108</v>
      </c>
      <c r="S168" s="17">
        <f>('Q1'!AN59-S$106)/S$107</f>
        <v>0.59987366491910854</v>
      </c>
    </row>
    <row r="169" spans="2:19">
      <c r="B169" s="17">
        <f>('Q1'!W60-B$106)/B$107</f>
        <v>0.73351976599333257</v>
      </c>
      <c r="C169" s="17">
        <f>('Q1'!X60-C$106)/C$107</f>
        <v>4.8222316534804785E-2</v>
      </c>
      <c r="D169" s="17">
        <f>('Q1'!Y60-D$106)/D$107</f>
        <v>0.29739778645448128</v>
      </c>
      <c r="E169" s="17">
        <f>('Q1'!Z60-E$106)/E$107</f>
        <v>0.63429654113828504</v>
      </c>
      <c r="F169" s="17">
        <f>('Q1'!AA60-F$106)/F$107</f>
        <v>0.51839190487736353</v>
      </c>
      <c r="G169" s="17">
        <f>('Q1'!AB60-G$106)/G$107</f>
        <v>0.35111188882348848</v>
      </c>
      <c r="H169" s="17">
        <f>('Q1'!AC60-H$106)/H$107</f>
        <v>0.27143855111002152</v>
      </c>
      <c r="I169" s="17">
        <f>('Q1'!AD60-I$106)/I$107</f>
        <v>0.44006578124303558</v>
      </c>
      <c r="J169" s="17">
        <f>('Q1'!AE60-J$106)/J$107</f>
        <v>0.51960203750845468</v>
      </c>
      <c r="K169" s="17">
        <f>('Q1'!AF60-K$106)/K$107</f>
        <v>-0.49500655420265316</v>
      </c>
      <c r="L169" s="17">
        <f>('Q1'!AG60-L$106)/L$107</f>
        <v>1.2737605271594144E-2</v>
      </c>
      <c r="M169" s="17">
        <f>('Q1'!AH60-M$106)/M$107</f>
        <v>-7.7281202652273603E-2</v>
      </c>
      <c r="N169" s="17">
        <f>('Q1'!AI60-N$106)/N$107</f>
        <v>5.450228306257357E-2</v>
      </c>
      <c r="O169" s="17">
        <f>('Q1'!AJ60-O$106)/O$107</f>
        <v>0.38060391931500448</v>
      </c>
      <c r="P169" s="17">
        <f>('Q1'!AK60-P$106)/P$107</f>
        <v>-0.59051479053387346</v>
      </c>
      <c r="Q169" s="17">
        <f>('Q1'!AL60-Q$106)/Q$107</f>
        <v>0.73792006625739048</v>
      </c>
      <c r="R169" s="17">
        <f>('Q1'!AM60-R$106)/R$107</f>
        <v>1.2322191684232728</v>
      </c>
      <c r="S169" s="17">
        <f>('Q1'!AN60-S$106)/S$107</f>
        <v>0.5727166559969914</v>
      </c>
    </row>
    <row r="170" spans="2:19">
      <c r="B170" s="17">
        <f>('Q1'!W61-B$106)/B$107</f>
        <v>-0.34157457191568175</v>
      </c>
      <c r="C170" s="17">
        <f>('Q1'!X61-C$106)/C$107</f>
        <v>-0.12441606436152342</v>
      </c>
      <c r="D170" s="17">
        <f>('Q1'!Y61-D$106)/D$107</f>
        <v>-0.63556499631921293</v>
      </c>
      <c r="E170" s="17">
        <f>('Q1'!Z61-E$106)/E$107</f>
        <v>0.13091997381032369</v>
      </c>
      <c r="F170" s="17">
        <f>('Q1'!AA61-F$106)/F$107</f>
        <v>-1.2363147982817233</v>
      </c>
      <c r="G170" s="17">
        <f>('Q1'!AB61-G$106)/G$107</f>
        <v>-0.1894119558314093</v>
      </c>
      <c r="H170" s="17">
        <f>('Q1'!AC61-H$106)/H$107</f>
        <v>-0.95157443967876998</v>
      </c>
      <c r="I170" s="17">
        <f>('Q1'!AD61-I$106)/I$107</f>
        <v>-0.81026535284157086</v>
      </c>
      <c r="J170" s="17">
        <f>('Q1'!AE61-J$106)/J$107</f>
        <v>-0.46508762754554195</v>
      </c>
      <c r="K170" s="17">
        <f>('Q1'!AF61-K$106)/K$107</f>
        <v>-1.7453239276252481</v>
      </c>
      <c r="L170" s="17">
        <f>('Q1'!AG61-L$106)/L$107</f>
        <v>-0.71249532397607085</v>
      </c>
      <c r="M170" s="17">
        <f>('Q1'!AH61-M$106)/M$107</f>
        <v>-0.53492921042847397</v>
      </c>
      <c r="N170" s="17">
        <f>('Q1'!AI61-N$106)/N$107</f>
        <v>-0.28273465157294397</v>
      </c>
      <c r="O170" s="17">
        <f>('Q1'!AJ61-O$106)/O$107</f>
        <v>-1.0019306532499714</v>
      </c>
      <c r="P170" s="17">
        <f>('Q1'!AK61-P$106)/P$107</f>
        <v>1.5221429451725264</v>
      </c>
      <c r="Q170" s="17">
        <f>('Q1'!AL61-Q$106)/Q$107</f>
        <v>-0.35934906943013167</v>
      </c>
      <c r="R170" s="17">
        <f>('Q1'!AM61-R$106)/R$107</f>
        <v>-0.35486238842170575</v>
      </c>
      <c r="S170" s="17">
        <f>('Q1'!AN61-S$106)/S$107</f>
        <v>-0.82332381272009858</v>
      </c>
    </row>
    <row r="171" spans="2:19">
      <c r="B171" s="17">
        <f>('Q1'!W62-B$106)/B$107</f>
        <v>-0.10394800927907394</v>
      </c>
      <c r="C171" s="17">
        <f>('Q1'!X62-C$106)/C$107</f>
        <v>-3.8009813620943127E-2</v>
      </c>
      <c r="D171" s="17">
        <f>('Q1'!Y62-D$106)/D$107</f>
        <v>-0.27329559951635501</v>
      </c>
      <c r="E171" s="17">
        <f>('Q1'!Z62-E$106)/E$107</f>
        <v>-0.25716945875822383</v>
      </c>
      <c r="F171" s="17">
        <f>('Q1'!AA62-F$106)/F$107</f>
        <v>-0.19152843400216499</v>
      </c>
      <c r="G171" s="17">
        <f>('Q1'!AB62-G$106)/G$107</f>
        <v>-0.12246001010063111</v>
      </c>
      <c r="H171" s="17">
        <f>('Q1'!AC62-H$106)/H$107</f>
        <v>0.11292125758789387</v>
      </c>
      <c r="I171" s="17">
        <f>('Q1'!AD62-I$106)/I$107</f>
        <v>-0.1126831977468128</v>
      </c>
      <c r="J171" s="17">
        <f>('Q1'!AE62-J$106)/J$107</f>
        <v>-0.44560444277292882</v>
      </c>
      <c r="K171" s="17">
        <f>('Q1'!AF62-K$106)/K$107</f>
        <v>1.3891579664781559</v>
      </c>
      <c r="L171" s="17">
        <f>('Q1'!AG62-L$106)/L$107</f>
        <v>7.2214493736769497E-2</v>
      </c>
      <c r="M171" s="17">
        <f>('Q1'!AH62-M$106)/M$107</f>
        <v>-0.63490011924451273</v>
      </c>
      <c r="N171" s="17">
        <f>('Q1'!AI62-N$106)/N$107</f>
        <v>-0.49547552575534604</v>
      </c>
      <c r="O171" s="17">
        <f>('Q1'!AJ62-O$106)/O$107</f>
        <v>0.605383437320832</v>
      </c>
      <c r="P171" s="17">
        <f>('Q1'!AK62-P$106)/P$107</f>
        <v>1.2744723751004063</v>
      </c>
      <c r="Q171" s="17">
        <f>('Q1'!AL62-Q$106)/Q$107</f>
        <v>-1.624937254011517</v>
      </c>
      <c r="R171" s="17">
        <f>('Q1'!AM62-R$106)/R$107</f>
        <v>-0.68096252832584792</v>
      </c>
      <c r="S171" s="17">
        <f>('Q1'!AN62-S$106)/S$107</f>
        <v>-0.22063210192525673</v>
      </c>
    </row>
    <row r="172" spans="2:19">
      <c r="B172" s="17">
        <f>('Q1'!W63-B$106)/B$107</f>
        <v>-0.3328734269730339</v>
      </c>
      <c r="C172" s="17">
        <f>('Q1'!X63-C$106)/C$107</f>
        <v>-0.5877374085634105</v>
      </c>
      <c r="D172" s="17">
        <f>('Q1'!Y63-D$106)/D$107</f>
        <v>-0.75675126655421232</v>
      </c>
      <c r="E172" s="17">
        <f>('Q1'!Z63-E$106)/E$107</f>
        <v>-0.45242503345623819</v>
      </c>
      <c r="F172" s="17">
        <f>('Q1'!AA63-F$106)/F$107</f>
        <v>0.57855720904475472</v>
      </c>
      <c r="G172" s="17">
        <f>('Q1'!AB63-G$106)/G$107</f>
        <v>0.91892446859298382</v>
      </c>
      <c r="H172" s="17">
        <f>('Q1'!AC63-H$106)/H$107</f>
        <v>-0.86264872107654766</v>
      </c>
      <c r="I172" s="17">
        <f>('Q1'!AD63-I$106)/I$107</f>
        <v>-0.18234456995667112</v>
      </c>
      <c r="J172" s="17">
        <f>('Q1'!AE63-J$106)/J$107</f>
        <v>-0.37035462216906506</v>
      </c>
      <c r="K172" s="17">
        <f>('Q1'!AF63-K$106)/K$107</f>
        <v>4.3466011484022772E-2</v>
      </c>
      <c r="L172" s="17">
        <f>('Q1'!AG63-L$106)/L$107</f>
        <v>-0.68771181308873375</v>
      </c>
      <c r="M172" s="17">
        <f>('Q1'!AH63-M$106)/M$107</f>
        <v>-4.6626843819580779E-2</v>
      </c>
      <c r="N172" s="17">
        <f>('Q1'!AI63-N$106)/N$107</f>
        <v>6.2497051800355918E-2</v>
      </c>
      <c r="O172" s="17">
        <f>('Q1'!AJ63-O$106)/O$107</f>
        <v>-8.2456851757137552E-3</v>
      </c>
      <c r="P172" s="17">
        <f>('Q1'!AK63-P$106)/P$107</f>
        <v>-0.87616124696929021</v>
      </c>
      <c r="Q172" s="17">
        <f>('Q1'!AL63-Q$106)/Q$107</f>
        <v>-0.37270361144470987</v>
      </c>
      <c r="R172" s="17">
        <f>('Q1'!AM63-R$106)/R$107</f>
        <v>-0.60323401226496332</v>
      </c>
      <c r="S172" s="17">
        <f>('Q1'!AN63-S$106)/S$107</f>
        <v>-0.24964941467112647</v>
      </c>
    </row>
    <row r="173" spans="2:19">
      <c r="B173" s="17">
        <f>('Q1'!W64-B$106)/B$107</f>
        <v>-5.4903236009433087E-2</v>
      </c>
      <c r="C173" s="17">
        <f>('Q1'!X64-C$106)/C$107</f>
        <v>0.18960244302734544</v>
      </c>
      <c r="D173" s="17">
        <f>('Q1'!Y64-D$106)/D$107</f>
        <v>0.17487623160973484</v>
      </c>
      <c r="E173" s="17">
        <f>('Q1'!Z64-E$106)/E$107</f>
        <v>0.36195914402928819</v>
      </c>
      <c r="F173" s="17">
        <f>('Q1'!AA64-F$106)/F$107</f>
        <v>-0.59414000185846394</v>
      </c>
      <c r="G173" s="17">
        <f>('Q1'!AB64-G$106)/G$107</f>
        <v>-0.81161831269483808</v>
      </c>
      <c r="H173" s="17">
        <f>('Q1'!AC64-H$106)/H$107</f>
        <v>-0.96175391331450488</v>
      </c>
      <c r="I173" s="17">
        <f>('Q1'!AD64-I$106)/I$107</f>
        <v>0.2782371800461122</v>
      </c>
      <c r="J173" s="17">
        <f>('Q1'!AE64-J$106)/J$107</f>
        <v>-0.6383501137041947</v>
      </c>
      <c r="K173" s="17">
        <f>('Q1'!AF64-K$106)/K$107</f>
        <v>0.49844439204541663</v>
      </c>
      <c r="L173" s="17">
        <f>('Q1'!AG64-L$106)/L$107</f>
        <v>0.19527740720012293</v>
      </c>
      <c r="M173" s="17">
        <f>('Q1'!AH64-M$106)/M$107</f>
        <v>-0.94289162243931823</v>
      </c>
      <c r="N173" s="17">
        <f>('Q1'!AI64-N$106)/N$107</f>
        <v>-8.9607688923845324E-2</v>
      </c>
      <c r="O173" s="17">
        <f>('Q1'!AJ64-O$106)/O$107</f>
        <v>-0.49900910427681411</v>
      </c>
      <c r="P173" s="17">
        <f>('Q1'!AK64-P$106)/P$107</f>
        <v>-1.4505827874116195</v>
      </c>
      <c r="Q173" s="17">
        <f>('Q1'!AL64-Q$106)/Q$107</f>
        <v>-0.60622515180171477</v>
      </c>
      <c r="R173" s="17">
        <f>('Q1'!AM64-R$106)/R$107</f>
        <v>0.4335136862792533</v>
      </c>
      <c r="S173" s="17">
        <f>('Q1'!AN64-S$106)/S$107</f>
        <v>-2.3776755918815833</v>
      </c>
    </row>
    <row r="174" spans="2:19">
      <c r="B174" s="17">
        <f>('Q1'!W65-B$106)/B$107</f>
        <v>-0.70334520183918858</v>
      </c>
      <c r="C174" s="17">
        <f>('Q1'!X65-C$106)/C$107</f>
        <v>0.16468439977045707</v>
      </c>
      <c r="D174" s="17">
        <f>('Q1'!Y65-D$106)/D$107</f>
        <v>7.7129598764622775E-2</v>
      </c>
      <c r="E174" s="17">
        <f>('Q1'!Z65-E$106)/E$107</f>
        <v>8.4588067060335642E-2</v>
      </c>
      <c r="F174" s="17">
        <f>('Q1'!AA65-F$106)/F$107</f>
        <v>-0.40870750368670966</v>
      </c>
      <c r="G174" s="17">
        <f>('Q1'!AB65-G$106)/G$107</f>
        <v>1.2751309193040803</v>
      </c>
      <c r="H174" s="17">
        <f>('Q1'!AC65-H$106)/H$107</f>
        <v>0.52091136635512991</v>
      </c>
      <c r="I174" s="17">
        <f>('Q1'!AD65-I$106)/I$107</f>
        <v>0.31850683646179984</v>
      </c>
      <c r="J174" s="17">
        <f>('Q1'!AE65-J$106)/J$107</f>
        <v>0.31533225873511589</v>
      </c>
      <c r="K174" s="17">
        <f>('Q1'!AF65-K$106)/K$107</f>
        <v>0.37630835357707787</v>
      </c>
      <c r="L174" s="17">
        <f>('Q1'!AG65-L$106)/L$107</f>
        <v>0.12331399056663475</v>
      </c>
      <c r="M174" s="17">
        <f>('Q1'!AH65-M$106)/M$107</f>
        <v>-0.66033495308814749</v>
      </c>
      <c r="N174" s="17">
        <f>('Q1'!AI65-N$106)/N$107</f>
        <v>-2.3292507564665523E-2</v>
      </c>
      <c r="O174" s="17">
        <f>('Q1'!AJ65-O$106)/O$107</f>
        <v>0.77553274028125285</v>
      </c>
      <c r="P174" s="17">
        <f>('Q1'!AK65-P$106)/P$107</f>
        <v>0.69478637444486369</v>
      </c>
      <c r="Q174" s="17">
        <f>('Q1'!AL65-Q$106)/Q$107</f>
        <v>0.59063819896458203</v>
      </c>
      <c r="R174" s="17">
        <f>('Q1'!AM65-R$106)/R$107</f>
        <v>9.6949585018538648E-2</v>
      </c>
      <c r="S174" s="17">
        <f>('Q1'!AN65-S$106)/S$107</f>
        <v>-0.24671228349971031</v>
      </c>
    </row>
    <row r="175" spans="2:19">
      <c r="B175" s="17">
        <f>('Q1'!W66-B$106)/B$107</f>
        <v>0.28898528760826453</v>
      </c>
      <c r="C175" s="17">
        <f>('Q1'!X66-C$106)/C$107</f>
        <v>-0.23151053763254806</v>
      </c>
      <c r="D175" s="17">
        <f>('Q1'!Y66-D$106)/D$107</f>
        <v>-0.26988795813799993</v>
      </c>
      <c r="E175" s="17">
        <f>('Q1'!Z66-E$106)/E$107</f>
        <v>-0.18469956063684592</v>
      </c>
      <c r="F175" s="17">
        <f>('Q1'!AA66-F$106)/F$107</f>
        <v>0.70790469881046925</v>
      </c>
      <c r="G175" s="17">
        <f>('Q1'!AB66-G$106)/G$107</f>
        <v>0.59968357598975663</v>
      </c>
      <c r="H175" s="17">
        <f>('Q1'!AC66-H$106)/H$107</f>
        <v>-0.30296040216014541</v>
      </c>
      <c r="I175" s="17">
        <f>('Q1'!AD66-I$106)/I$107</f>
        <v>-1.0057816211558765</v>
      </c>
      <c r="J175" s="17">
        <f>('Q1'!AE66-J$106)/J$107</f>
        <v>0.12740713862019803</v>
      </c>
      <c r="K175" s="17">
        <f>('Q1'!AF66-K$106)/K$107</f>
        <v>-0.14422853357499901</v>
      </c>
      <c r="L175" s="17">
        <f>('Q1'!AG66-L$106)/L$107</f>
        <v>-0.24623192186061535</v>
      </c>
      <c r="M175" s="17">
        <f>('Q1'!AH66-M$106)/M$107</f>
        <v>-8.4297355898693985E-2</v>
      </c>
      <c r="N175" s="17">
        <f>('Q1'!AI66-N$106)/N$107</f>
        <v>0.21431317046327564</v>
      </c>
      <c r="O175" s="17">
        <f>('Q1'!AJ66-O$106)/O$107</f>
        <v>0.56151061113406886</v>
      </c>
      <c r="P175" s="17">
        <f>('Q1'!AK66-P$106)/P$107</f>
        <v>-0.90405801593283031</v>
      </c>
      <c r="Q175" s="17">
        <f>('Q1'!AL66-Q$106)/Q$107</f>
        <v>-0.70330212969024675</v>
      </c>
      <c r="R175" s="17">
        <f>('Q1'!AM66-R$106)/R$107</f>
        <v>-0.57543702416617792</v>
      </c>
      <c r="S175" s="17">
        <f>('Q1'!AN66-S$106)/S$107</f>
        <v>-0.30777920077502968</v>
      </c>
    </row>
    <row r="176" spans="2:19">
      <c r="B176" s="17">
        <f>('Q1'!W67-B$106)/B$107</f>
        <v>-0.15511539999522203</v>
      </c>
      <c r="C176" s="17">
        <f>('Q1'!X67-C$106)/C$107</f>
        <v>-0.40687436753817641</v>
      </c>
      <c r="D176" s="17">
        <f>('Q1'!Y67-D$106)/D$107</f>
        <v>-0.18822093318344807</v>
      </c>
      <c r="E176" s="17">
        <f>('Q1'!Z67-E$106)/E$107</f>
        <v>-0.53156083305576518</v>
      </c>
      <c r="F176" s="17">
        <f>('Q1'!AA67-F$106)/F$107</f>
        <v>0.85249340152005215</v>
      </c>
      <c r="G176" s="17">
        <f>('Q1'!AB67-G$106)/G$107</f>
        <v>0.2166249730383282</v>
      </c>
      <c r="H176" s="17">
        <f>('Q1'!AC67-H$106)/H$107</f>
        <v>1.3775495104544364</v>
      </c>
      <c r="I176" s="17">
        <f>('Q1'!AD67-I$106)/I$107</f>
        <v>0.92599414623165255</v>
      </c>
      <c r="J176" s="17">
        <f>('Q1'!AE67-J$106)/J$107</f>
        <v>0.8418254068451434</v>
      </c>
      <c r="K176" s="17">
        <f>('Q1'!AF67-K$106)/K$107</f>
        <v>-0.71476339309267534</v>
      </c>
      <c r="L176" s="17">
        <f>('Q1'!AG67-L$106)/L$107</f>
        <v>0.27553348546295126</v>
      </c>
      <c r="M176" s="17">
        <f>('Q1'!AH67-M$106)/M$107</f>
        <v>5.1991654465494822E-2</v>
      </c>
      <c r="N176" s="17">
        <f>('Q1'!AI67-N$106)/N$107</f>
        <v>-0.16482138285682349</v>
      </c>
      <c r="O176" s="17">
        <f>('Q1'!AJ67-O$106)/O$107</f>
        <v>0.32062568991117563</v>
      </c>
      <c r="P176" s="17">
        <f>('Q1'!AK67-P$106)/P$107</f>
        <v>1.2015971851925906</v>
      </c>
      <c r="Q176" s="17">
        <f>('Q1'!AL67-Q$106)/Q$107</f>
        <v>2.6791652337410006</v>
      </c>
      <c r="R176" s="17">
        <f>('Q1'!AM67-R$106)/R$107</f>
        <v>0.23706314387789348</v>
      </c>
      <c r="S176" s="17">
        <f>('Q1'!AN67-S$106)/S$107</f>
        <v>1.6393331514902623</v>
      </c>
    </row>
    <row r="177" spans="2:19">
      <c r="B177" s="17">
        <f>('Q1'!W68-B$106)/B$107</f>
        <v>9.7253287373117558E-2</v>
      </c>
      <c r="C177" s="17">
        <f>('Q1'!X68-C$106)/C$107</f>
        <v>-0.21108932066359282</v>
      </c>
      <c r="D177" s="17">
        <f>('Q1'!Y68-D$106)/D$107</f>
        <v>-0.43683807130965313</v>
      </c>
      <c r="E177" s="17">
        <f>('Q1'!Z68-E$106)/E$107</f>
        <v>0.11565854847877845</v>
      </c>
      <c r="F177" s="17">
        <f>('Q1'!AA68-F$106)/F$107</f>
        <v>-0.48215493923084135</v>
      </c>
      <c r="G177" s="17">
        <f>('Q1'!AB68-G$106)/G$107</f>
        <v>-0.78264072389055861</v>
      </c>
      <c r="H177" s="17">
        <f>('Q1'!AC68-H$106)/H$107</f>
        <v>-1.5303645215746851</v>
      </c>
      <c r="I177" s="17">
        <f>('Q1'!AD68-I$106)/I$107</f>
        <v>-0.10136045666586427</v>
      </c>
      <c r="J177" s="17">
        <f>('Q1'!AE68-J$106)/J$107</f>
        <v>-0.88900989190912816</v>
      </c>
      <c r="K177" s="17">
        <f>('Q1'!AF68-K$106)/K$107</f>
        <v>-0.70370985311032219</v>
      </c>
      <c r="L177" s="17">
        <f>('Q1'!AG68-L$106)/L$107</f>
        <v>-7.0221898983989867E-2</v>
      </c>
      <c r="M177" s="17">
        <f>('Q1'!AH68-M$106)/M$107</f>
        <v>6.3232851605839233E-2</v>
      </c>
      <c r="N177" s="17">
        <f>('Q1'!AI68-N$106)/N$107</f>
        <v>-0.45591820363736352</v>
      </c>
      <c r="O177" s="17">
        <f>('Q1'!AJ68-O$106)/O$107</f>
        <v>0.31937276445821527</v>
      </c>
      <c r="P177" s="17">
        <f>('Q1'!AK68-P$106)/P$107</f>
        <v>0.66590177116749549</v>
      </c>
      <c r="Q177" s="17">
        <f>('Q1'!AL68-Q$106)/Q$107</f>
        <v>-0.59472916591071978</v>
      </c>
      <c r="R177" s="17">
        <f>('Q1'!AM68-R$106)/R$107</f>
        <v>0.71237189699553982</v>
      </c>
      <c r="S177" s="17">
        <f>('Q1'!AN68-S$106)/S$107</f>
        <v>-0.56869837998275963</v>
      </c>
    </row>
    <row r="178" spans="2:19">
      <c r="B178" s="17">
        <f>('Q1'!W69-B$106)/B$107</f>
        <v>0.16364980494062867</v>
      </c>
      <c r="C178" s="17">
        <f>('Q1'!X69-C$106)/C$107</f>
        <v>-0.18443430912243547</v>
      </c>
      <c r="D178" s="17">
        <f>('Q1'!Y69-D$106)/D$107</f>
        <v>-0.11427327463853632</v>
      </c>
      <c r="E178" s="17">
        <f>('Q1'!Z69-E$106)/E$107</f>
        <v>0.31927985770540429</v>
      </c>
      <c r="F178" s="17">
        <f>('Q1'!AA69-F$106)/F$107</f>
        <v>0.25915960517060965</v>
      </c>
      <c r="G178" s="17">
        <f>('Q1'!AB69-G$106)/G$107</f>
        <v>-0.28611508554952358</v>
      </c>
      <c r="H178" s="17">
        <f>('Q1'!AC69-H$106)/H$107</f>
        <v>-0.95956804885156355</v>
      </c>
      <c r="I178" s="17">
        <f>('Q1'!AD69-I$106)/I$107</f>
        <v>1.263459895253813</v>
      </c>
      <c r="J178" s="17">
        <f>('Q1'!AE69-J$106)/J$107</f>
        <v>0.12124987659060191</v>
      </c>
      <c r="K178" s="17">
        <f>('Q1'!AF69-K$106)/K$107</f>
        <v>-0.28237306245550209</v>
      </c>
      <c r="L178" s="17">
        <f>('Q1'!AG69-L$106)/L$107</f>
        <v>0.32289434501661834</v>
      </c>
      <c r="M178" s="17">
        <f>('Q1'!AH69-M$106)/M$107</f>
        <v>-0.69824292710246583</v>
      </c>
      <c r="N178" s="17">
        <f>('Q1'!AI69-N$106)/N$107</f>
        <v>-0.22953188711083919</v>
      </c>
      <c r="O178" s="17">
        <f>('Q1'!AJ69-O$106)/O$107</f>
        <v>0.50628410100598165</v>
      </c>
      <c r="P178" s="17">
        <f>('Q1'!AK69-P$106)/P$107</f>
        <v>1.0628982373185072</v>
      </c>
      <c r="Q178" s="17">
        <f>('Q1'!AL69-Q$106)/Q$107</f>
        <v>0.30562588709610267</v>
      </c>
      <c r="R178" s="17">
        <f>('Q1'!AM69-R$106)/R$107</f>
        <v>-0.86624528415194901</v>
      </c>
      <c r="S178" s="17">
        <f>('Q1'!AN69-S$106)/S$107</f>
        <v>-0.13134393392433114</v>
      </c>
    </row>
    <row r="179" spans="2:19">
      <c r="B179" s="17">
        <f>('Q1'!W70-B$106)/B$107</f>
        <v>-0.30015691069394679</v>
      </c>
      <c r="C179" s="17">
        <f>('Q1'!X70-C$106)/C$107</f>
        <v>0.26009513535202666</v>
      </c>
      <c r="D179" s="17">
        <f>('Q1'!Y70-D$106)/D$107</f>
        <v>0.80588710377358896</v>
      </c>
      <c r="E179" s="17">
        <f>('Q1'!Z70-E$106)/E$107</f>
        <v>2.485385244110935E-2</v>
      </c>
      <c r="F179" s="17">
        <f>('Q1'!AA70-F$106)/F$107</f>
        <v>-0.39147178611766814</v>
      </c>
      <c r="G179" s="17">
        <f>('Q1'!AB70-G$106)/G$107</f>
        <v>-0.71585372134734104</v>
      </c>
      <c r="H179" s="17">
        <f>('Q1'!AC70-H$106)/H$107</f>
        <v>-0.22412735720831786</v>
      </c>
      <c r="I179" s="17">
        <f>('Q1'!AD70-I$106)/I$107</f>
        <v>-1.2979900820565879</v>
      </c>
      <c r="J179" s="17">
        <f>('Q1'!AE70-J$106)/J$107</f>
        <v>0.27489539667678065</v>
      </c>
      <c r="K179" s="17">
        <f>('Q1'!AF70-K$106)/K$107</f>
        <v>-2.2052222451503396</v>
      </c>
      <c r="L179" s="17">
        <f>('Q1'!AG70-L$106)/L$107</f>
        <v>-0.23043118104037197</v>
      </c>
      <c r="M179" s="17">
        <f>('Q1'!AH70-M$106)/M$107</f>
        <v>-0.90648315977672356</v>
      </c>
      <c r="N179" s="17">
        <f>('Q1'!AI70-N$106)/N$107</f>
        <v>0.21770505972595369</v>
      </c>
      <c r="O179" s="17">
        <f>('Q1'!AJ70-O$106)/O$107</f>
        <v>-0.62692434214068471</v>
      </c>
      <c r="P179" s="17">
        <f>('Q1'!AK70-P$106)/P$107</f>
        <v>0.4382548208331522</v>
      </c>
      <c r="Q179" s="17">
        <f>('Q1'!AL70-Q$106)/Q$107</f>
        <v>-1.1093955409084522</v>
      </c>
      <c r="R179" s="17">
        <f>('Q1'!AM70-R$106)/R$107</f>
        <v>-0.16404307822921638</v>
      </c>
      <c r="S179" s="17">
        <f>('Q1'!AN70-S$106)/S$107</f>
        <v>0.19204938619108847</v>
      </c>
    </row>
    <row r="180" spans="2:19">
      <c r="B180" s="17">
        <f>('Q1'!W71-B$106)/B$107</f>
        <v>0.17134773648354226</v>
      </c>
      <c r="C180" s="17">
        <f>('Q1'!X71-C$106)/C$107</f>
        <v>0.35245541313145295</v>
      </c>
      <c r="D180" s="17">
        <f>('Q1'!Y71-D$106)/D$107</f>
        <v>0.52010618239202755</v>
      </c>
      <c r="E180" s="17">
        <f>('Q1'!Z71-E$106)/E$107</f>
        <v>0.49562044340533812</v>
      </c>
      <c r="F180" s="17">
        <f>('Q1'!AA71-F$106)/F$107</f>
        <v>1.1856221545640406</v>
      </c>
      <c r="G180" s="17">
        <f>('Q1'!AB71-G$106)/G$107</f>
        <v>0.31445581174482035</v>
      </c>
      <c r="H180" s="17">
        <f>('Q1'!AC71-H$106)/H$107</f>
        <v>1.5572093910620859</v>
      </c>
      <c r="I180" s="17">
        <f>('Q1'!AD71-I$106)/I$107</f>
        <v>0.37525547446957414</v>
      </c>
      <c r="J180" s="17">
        <f>('Q1'!AE71-J$106)/J$107</f>
        <v>-0.10215618917369192</v>
      </c>
      <c r="K180" s="17">
        <f>('Q1'!AF71-K$106)/K$107</f>
        <v>-0.47812486149659672</v>
      </c>
      <c r="L180" s="17">
        <f>('Q1'!AG71-L$106)/L$107</f>
        <v>0.27651264626484529</v>
      </c>
      <c r="M180" s="17">
        <f>('Q1'!AH71-M$106)/M$107</f>
        <v>2.8756479964007521E-2</v>
      </c>
      <c r="N180" s="17">
        <f>('Q1'!AI71-N$106)/N$107</f>
        <v>0.41291250732165302</v>
      </c>
      <c r="O180" s="17">
        <f>('Q1'!AJ71-O$106)/O$107</f>
        <v>1.2477660788202176</v>
      </c>
      <c r="P180" s="17">
        <f>('Q1'!AK71-P$106)/P$107</f>
        <v>1.3732614809830113</v>
      </c>
      <c r="Q180" s="17">
        <f>('Q1'!AL71-Q$106)/Q$107</f>
        <v>1.5164764698283908</v>
      </c>
      <c r="R180" s="17">
        <f>('Q1'!AM71-R$106)/R$107</f>
        <v>0.81125684886538418</v>
      </c>
      <c r="S180" s="17">
        <f>('Q1'!AN71-S$106)/S$107</f>
        <v>1.0962764100684037</v>
      </c>
    </row>
    <row r="181" spans="2:19">
      <c r="B181" s="17">
        <f>('Q1'!W72-B$106)/B$107</f>
        <v>0.19682156979679602</v>
      </c>
      <c r="C181" s="17">
        <f>('Q1'!X72-C$106)/C$107</f>
        <v>5.7017593650434524E-2</v>
      </c>
      <c r="D181" s="17">
        <f>('Q1'!Y72-D$106)/D$107</f>
        <v>0.31535847895192232</v>
      </c>
      <c r="E181" s="17">
        <f>('Q1'!Z72-E$106)/E$107</f>
        <v>5.6012018909980324E-2</v>
      </c>
      <c r="F181" s="17">
        <f>('Q1'!AA72-F$106)/F$107</f>
        <v>0.54854584861743172</v>
      </c>
      <c r="G181" s="17">
        <f>('Q1'!AB72-G$106)/G$107</f>
        <v>0.15557753369698016</v>
      </c>
      <c r="H181" s="17">
        <f>('Q1'!AC72-H$106)/H$107</f>
        <v>-0.39912482600698074</v>
      </c>
      <c r="I181" s="17">
        <f>('Q1'!AD72-I$106)/I$107</f>
        <v>8.8582414704392043E-2</v>
      </c>
      <c r="J181" s="17">
        <f>('Q1'!AE72-J$106)/J$107</f>
        <v>-0.10958712778960795</v>
      </c>
      <c r="K181" s="17">
        <f>('Q1'!AF72-K$106)/K$107</f>
        <v>1.7411861189618374</v>
      </c>
      <c r="L181" s="17">
        <f>('Q1'!AG72-L$106)/L$107</f>
        <v>-0.10997076997110823</v>
      </c>
      <c r="M181" s="17">
        <f>('Q1'!AH72-M$106)/M$107</f>
        <v>-0.38964472596106819</v>
      </c>
      <c r="N181" s="17">
        <f>('Q1'!AI72-N$106)/N$107</f>
        <v>-1.6096627529979968E-2</v>
      </c>
      <c r="O181" s="17">
        <f>('Q1'!AJ72-O$106)/O$107</f>
        <v>8.8078333224539077E-2</v>
      </c>
      <c r="P181" s="17">
        <f>('Q1'!AK72-P$106)/P$107</f>
        <v>0.30958708820436687</v>
      </c>
      <c r="Q181" s="17">
        <f>('Q1'!AL72-Q$106)/Q$107</f>
        <v>-0.38181740136982545</v>
      </c>
      <c r="R181" s="17">
        <f>('Q1'!AM72-R$106)/R$107</f>
        <v>-0.80427333327215567</v>
      </c>
      <c r="S181" s="17">
        <f>('Q1'!AN72-S$106)/S$107</f>
        <v>-1.1125525378552594</v>
      </c>
    </row>
    <row r="182" spans="2:19">
      <c r="B182" s="17">
        <f>('Q1'!W73-B$106)/B$107</f>
        <v>5.9944710740463258E-2</v>
      </c>
      <c r="C182" s="17">
        <f>('Q1'!X73-C$106)/C$107</f>
        <v>-0.46947058749095322</v>
      </c>
      <c r="D182" s="17">
        <f>('Q1'!Y73-D$106)/D$107</f>
        <v>-0.11036255020287755</v>
      </c>
      <c r="E182" s="17">
        <f>('Q1'!Z73-E$106)/E$107</f>
        <v>-0.36942639013619127</v>
      </c>
      <c r="F182" s="17">
        <f>('Q1'!AA73-F$106)/F$107</f>
        <v>0.78462550393220065</v>
      </c>
      <c r="G182" s="17">
        <f>('Q1'!AB73-G$106)/G$107</f>
        <v>-1.0202860245479398E-2</v>
      </c>
      <c r="H182" s="17">
        <f>('Q1'!AC73-H$106)/H$107</f>
        <v>0.54349321636453962</v>
      </c>
      <c r="I182" s="17">
        <f>('Q1'!AD73-I$106)/I$107</f>
        <v>0.31026575581082122</v>
      </c>
      <c r="J182" s="17">
        <f>('Q1'!AE73-J$106)/J$107</f>
        <v>0.20024852327853462</v>
      </c>
      <c r="K182" s="17">
        <f>('Q1'!AF73-K$106)/K$107</f>
        <v>1.6046213825282667</v>
      </c>
      <c r="L182" s="17">
        <f>('Q1'!AG73-L$106)/L$107</f>
        <v>9.4671014240294712E-2</v>
      </c>
      <c r="M182" s="17">
        <f>('Q1'!AH73-M$106)/M$107</f>
        <v>0.6302211587559523</v>
      </c>
      <c r="N182" s="17">
        <f>('Q1'!AI73-N$106)/N$107</f>
        <v>-0.20802754889880001</v>
      </c>
      <c r="O182" s="17">
        <f>('Q1'!AJ73-O$106)/O$107</f>
        <v>7.1498383709203694E-2</v>
      </c>
      <c r="P182" s="17">
        <f>('Q1'!AK73-P$106)/P$107</f>
        <v>0.222256722886092</v>
      </c>
      <c r="Q182" s="17">
        <f>('Q1'!AL73-Q$106)/Q$107</f>
        <v>-0.55683321998508217</v>
      </c>
      <c r="R182" s="17">
        <f>('Q1'!AM73-R$106)/R$107</f>
        <v>0.80426676310860445</v>
      </c>
      <c r="S182" s="17">
        <f>('Q1'!AN73-S$106)/S$107</f>
        <v>-0.24785126840513827</v>
      </c>
    </row>
    <row r="183" spans="2:19">
      <c r="B183" s="17">
        <f>('Q1'!W74-B$106)/B$107</f>
        <v>0.72808959199980439</v>
      </c>
      <c r="C183" s="17">
        <f>('Q1'!X74-C$106)/C$107</f>
        <v>0.23900567961542574</v>
      </c>
      <c r="D183" s="17">
        <f>('Q1'!Y74-D$106)/D$107</f>
        <v>0.3878410622080527</v>
      </c>
      <c r="E183" s="17">
        <f>('Q1'!Z74-E$106)/E$107</f>
        <v>-6.2952070490418524E-2</v>
      </c>
      <c r="F183" s="17">
        <f>('Q1'!AA74-F$106)/F$107</f>
        <v>7.5628467116058778E-2</v>
      </c>
      <c r="G183" s="17">
        <f>('Q1'!AB74-G$106)/G$107</f>
        <v>0.44177200515683762</v>
      </c>
      <c r="H183" s="17">
        <f>('Q1'!AC74-H$106)/H$107</f>
        <v>0.58328139102378507</v>
      </c>
      <c r="I183" s="17">
        <f>('Q1'!AD74-I$106)/I$107</f>
        <v>0.17928965763285307</v>
      </c>
      <c r="J183" s="17">
        <f>('Q1'!AE74-J$106)/J$107</f>
        <v>0.14614818330187246</v>
      </c>
      <c r="K183" s="17">
        <f>('Q1'!AF74-K$106)/K$107</f>
        <v>0.26049693465703128</v>
      </c>
      <c r="L183" s="17">
        <f>('Q1'!AG74-L$106)/L$107</f>
        <v>0.20969457684479795</v>
      </c>
      <c r="M183" s="17">
        <f>('Q1'!AH74-M$106)/M$107</f>
        <v>-9.4446016537965111E-2</v>
      </c>
      <c r="N183" s="17">
        <f>('Q1'!AI74-N$106)/N$107</f>
        <v>0.23791930620344384</v>
      </c>
      <c r="O183" s="17">
        <f>('Q1'!AJ74-O$106)/O$107</f>
        <v>1.0304736425768328</v>
      </c>
      <c r="P183" s="17">
        <f>('Q1'!AK74-P$106)/P$107</f>
        <v>-1.0738324845995308</v>
      </c>
      <c r="Q183" s="17">
        <f>('Q1'!AL74-Q$106)/Q$107</f>
        <v>-1.4578793233241398</v>
      </c>
      <c r="R183" s="17">
        <f>('Q1'!AM74-R$106)/R$107</f>
        <v>-0.71655346080336058</v>
      </c>
      <c r="S183" s="17">
        <f>('Q1'!AN74-S$106)/S$107</f>
        <v>-0.27689067511155074</v>
      </c>
    </row>
    <row r="184" spans="2:19">
      <c r="B184" s="17">
        <f>('Q1'!W75-B$106)/B$107</f>
        <v>-7.9039137785699334E-2</v>
      </c>
      <c r="C184" s="17">
        <f>('Q1'!X75-C$106)/C$107</f>
        <v>-0.1539208888150268</v>
      </c>
      <c r="D184" s="17">
        <f>('Q1'!Y75-D$106)/D$107</f>
        <v>1.5012273254644682E-2</v>
      </c>
      <c r="E184" s="17">
        <f>('Q1'!Z75-E$106)/E$107</f>
        <v>0.22866571187735585</v>
      </c>
      <c r="F184" s="17">
        <f>('Q1'!AA75-F$106)/F$107</f>
        <v>-0.98744217135814305</v>
      </c>
      <c r="G184" s="17">
        <f>('Q1'!AB75-G$106)/G$107</f>
        <v>0.14076894864926681</v>
      </c>
      <c r="H184" s="17">
        <f>('Q1'!AC75-H$106)/H$107</f>
        <v>0.26202221665303937</v>
      </c>
      <c r="I184" s="17">
        <f>('Q1'!AD75-I$106)/I$107</f>
        <v>-0.90460651410442328</v>
      </c>
      <c r="J184" s="17">
        <f>('Q1'!AE75-J$106)/J$107</f>
        <v>3.3555501318694178E-3</v>
      </c>
      <c r="K184" s="17">
        <f>('Q1'!AF75-K$106)/K$107</f>
        <v>-0.7176747151145032</v>
      </c>
      <c r="L184" s="17">
        <f>('Q1'!AG75-L$106)/L$107</f>
        <v>-0.39223711198196182</v>
      </c>
      <c r="M184" s="17">
        <f>('Q1'!AH75-M$106)/M$107</f>
        <v>-1.0414718356339945</v>
      </c>
      <c r="N184" s="17">
        <f>('Q1'!AI75-N$106)/N$107</f>
        <v>-7.8949918708010505E-2</v>
      </c>
      <c r="O184" s="17">
        <f>('Q1'!AJ75-O$106)/O$107</f>
        <v>-0.59873238599042233</v>
      </c>
      <c r="P184" s="17">
        <f>('Q1'!AK75-P$106)/P$107</f>
        <v>-0.99494643047888864</v>
      </c>
      <c r="Q184" s="17">
        <f>('Q1'!AL75-Q$106)/Q$107</f>
        <v>-0.36049532146247271</v>
      </c>
      <c r="R184" s="17">
        <f>('Q1'!AM75-R$106)/R$107</f>
        <v>5.1088656570720981E-2</v>
      </c>
      <c r="S184" s="17">
        <f>('Q1'!AN75-S$106)/S$107</f>
        <v>0.32661503283540805</v>
      </c>
    </row>
    <row r="185" spans="2:19">
      <c r="B185" s="17">
        <f>('Q1'!W76-B$106)/B$107</f>
        <v>0.70024772311877748</v>
      </c>
      <c r="C185" s="17">
        <f>('Q1'!X76-C$106)/C$107</f>
        <v>0.88778162476394096</v>
      </c>
      <c r="D185" s="17">
        <f>('Q1'!Y76-D$106)/D$107</f>
        <v>0.93002390625259901</v>
      </c>
      <c r="E185" s="17">
        <f>('Q1'!Z76-E$106)/E$107</f>
        <v>0.4705639831039537</v>
      </c>
      <c r="F185" s="17">
        <f>('Q1'!AA76-F$106)/F$107</f>
        <v>0.12550739954993254</v>
      </c>
      <c r="G185" s="17">
        <f>('Q1'!AB76-G$106)/G$107</f>
        <v>0.47275868971490287</v>
      </c>
      <c r="H185" s="17">
        <f>('Q1'!AC76-H$106)/H$107</f>
        <v>1.2295122909813732</v>
      </c>
      <c r="I185" s="17">
        <f>('Q1'!AD76-I$106)/I$107</f>
        <v>4.918458214851372E-2</v>
      </c>
      <c r="J185" s="17">
        <f>('Q1'!AE76-J$106)/J$107</f>
        <v>0.32164100229751158</v>
      </c>
      <c r="K185" s="17">
        <f>('Q1'!AF76-K$106)/K$107</f>
        <v>0.20420179778542458</v>
      </c>
      <c r="L185" s="17">
        <f>('Q1'!AG76-L$106)/L$107</f>
        <v>0.1472063445747572</v>
      </c>
      <c r="M185" s="17">
        <f>('Q1'!AH76-M$106)/M$107</f>
        <v>-0.27089490826011275</v>
      </c>
      <c r="N185" s="17">
        <f>('Q1'!AI76-N$106)/N$107</f>
        <v>0.79205936072038818</v>
      </c>
      <c r="O185" s="17">
        <f>('Q1'!AJ76-O$106)/O$107</f>
        <v>-9.5024280815094089E-3</v>
      </c>
      <c r="P185" s="17">
        <f>('Q1'!AK76-P$106)/P$107</f>
        <v>0.87276745452170246</v>
      </c>
      <c r="Q185" s="17">
        <f>('Q1'!AL76-Q$106)/Q$107</f>
        <v>-0.45298418033991078</v>
      </c>
      <c r="R185" s="17">
        <f>('Q1'!AM76-R$106)/R$107</f>
        <v>-1.551920824358157</v>
      </c>
      <c r="S185" s="17">
        <f>('Q1'!AN76-S$106)/S$107</f>
        <v>-0.11755106737168172</v>
      </c>
    </row>
    <row r="186" spans="2:19">
      <c r="B186" s="17">
        <f>('Q1'!W77-B$106)/B$107</f>
        <v>-0.64279820152765366</v>
      </c>
      <c r="C186" s="17">
        <f>('Q1'!X77-C$106)/C$107</f>
        <v>-0.3684487292216429</v>
      </c>
      <c r="D186" s="17">
        <f>('Q1'!Y77-D$106)/D$107</f>
        <v>-0.74904529688804822</v>
      </c>
      <c r="E186" s="17">
        <f>('Q1'!Z77-E$106)/E$107</f>
        <v>-4.8096245814970441E-2</v>
      </c>
      <c r="F186" s="17">
        <f>('Q1'!AA77-F$106)/F$107</f>
        <v>-0.49706050863312345</v>
      </c>
      <c r="G186" s="17">
        <f>('Q1'!AB77-G$106)/G$107</f>
        <v>-0.57729540464786711</v>
      </c>
      <c r="H186" s="17">
        <f>('Q1'!AC77-H$106)/H$107</f>
        <v>-0.48375687095368775</v>
      </c>
      <c r="I186" s="17">
        <f>('Q1'!AD77-I$106)/I$107</f>
        <v>-1.3865581937041398</v>
      </c>
      <c r="J186" s="17">
        <f>('Q1'!AE77-J$106)/J$107</f>
        <v>-0.95795574718134635</v>
      </c>
      <c r="K186" s="17">
        <f>('Q1'!AF77-K$106)/K$107</f>
        <v>-1.1571401916960513</v>
      </c>
      <c r="L186" s="17">
        <f>('Q1'!AG77-L$106)/L$107</f>
        <v>2.0014917787387683E-2</v>
      </c>
      <c r="M186" s="17">
        <f>('Q1'!AH77-M$106)/M$107</f>
        <v>-0.31936948375635638</v>
      </c>
      <c r="N186" s="17">
        <f>('Q1'!AI77-N$106)/N$107</f>
        <v>-0.52506342790568439</v>
      </c>
      <c r="O186" s="17">
        <f>('Q1'!AJ77-O$106)/O$107</f>
        <v>-0.58752921149512627</v>
      </c>
      <c r="P186" s="17">
        <f>('Q1'!AK77-P$106)/P$107</f>
        <v>-1.5974746783106453</v>
      </c>
      <c r="Q186" s="17">
        <f>('Q1'!AL77-Q$106)/Q$107</f>
        <v>-0.30369264007053237</v>
      </c>
      <c r="R186" s="17">
        <f>('Q1'!AM77-R$106)/R$107</f>
        <v>-0.92407036745400306</v>
      </c>
      <c r="S186" s="17">
        <f>('Q1'!AN77-S$106)/S$107</f>
        <v>-0.50759221903357321</v>
      </c>
    </row>
    <row r="187" spans="2:19">
      <c r="B187" s="17">
        <f>('Q1'!W78-B$106)/B$107</f>
        <v>-0.16767732590609433</v>
      </c>
      <c r="C187" s="17">
        <f>('Q1'!X78-C$106)/C$107</f>
        <v>-5.5470180276645221E-2</v>
      </c>
      <c r="D187" s="17">
        <f>('Q1'!Y78-D$106)/D$107</f>
        <v>-0.30501359160807234</v>
      </c>
      <c r="E187" s="17">
        <f>('Q1'!Z78-E$106)/E$107</f>
        <v>-0.20719632446314026</v>
      </c>
      <c r="F187" s="17">
        <f>('Q1'!AA78-F$106)/F$107</f>
        <v>-0.74509101991592663</v>
      </c>
      <c r="G187" s="17">
        <f>('Q1'!AB78-G$106)/G$107</f>
        <v>-3.4781747859860289E-2</v>
      </c>
      <c r="H187" s="17">
        <f>('Q1'!AC78-H$106)/H$107</f>
        <v>-0.48150697974638046</v>
      </c>
      <c r="I187" s="17">
        <f>('Q1'!AD78-I$106)/I$107</f>
        <v>0.34099343305945634</v>
      </c>
      <c r="J187" s="17">
        <f>('Q1'!AE78-J$106)/J$107</f>
        <v>-0.44382915875355455</v>
      </c>
      <c r="K187" s="17">
        <f>('Q1'!AF78-K$106)/K$107</f>
        <v>-4.4697689035287251E-2</v>
      </c>
      <c r="L187" s="17">
        <f>('Q1'!AG78-L$106)/L$107</f>
        <v>-0.35107334797102702</v>
      </c>
      <c r="M187" s="17">
        <f>('Q1'!AH78-M$106)/M$107</f>
        <v>0.16321586703687382</v>
      </c>
      <c r="N187" s="17">
        <f>('Q1'!AI78-N$106)/N$107</f>
        <v>0.10520777374396147</v>
      </c>
      <c r="O187" s="17">
        <f>('Q1'!AJ78-O$106)/O$107</f>
        <v>-1.0896485640784765</v>
      </c>
      <c r="P187" s="17">
        <f>('Q1'!AK78-P$106)/P$107</f>
        <v>-0.6113556404443109</v>
      </c>
      <c r="Q187" s="17">
        <f>('Q1'!AL78-Q$106)/Q$107</f>
        <v>0.74899636479168497</v>
      </c>
      <c r="R187" s="17">
        <f>('Q1'!AM78-R$106)/R$107</f>
        <v>0.25839268234275298</v>
      </c>
      <c r="S187" s="17">
        <f>('Q1'!AN78-S$106)/S$107</f>
        <v>-0.58321411065967477</v>
      </c>
    </row>
    <row r="188" spans="2:19">
      <c r="B188" s="17">
        <f>('Q1'!W79-B$106)/B$107</f>
        <v>0.20739992062193668</v>
      </c>
      <c r="C188" s="17">
        <f>('Q1'!X79-C$106)/C$107</f>
        <v>0.55311863933572036</v>
      </c>
      <c r="D188" s="17">
        <f>('Q1'!Y79-D$106)/D$107</f>
        <v>0.88728789593819379</v>
      </c>
      <c r="E188" s="17">
        <f>('Q1'!Z79-E$106)/E$107</f>
        <v>-1.3532694899980512E-2</v>
      </c>
      <c r="F188" s="17">
        <f>('Q1'!AA79-F$106)/F$107</f>
        <v>0.55981749787042534</v>
      </c>
      <c r="G188" s="17">
        <f>('Q1'!AB79-G$106)/G$107</f>
        <v>-0.36386173438652625</v>
      </c>
      <c r="H188" s="17">
        <f>('Q1'!AC79-H$106)/H$107</f>
        <v>-1.7213103339371691</v>
      </c>
      <c r="I188" s="17">
        <f>('Q1'!AD79-I$106)/I$107</f>
        <v>6.3496301273318387E-2</v>
      </c>
      <c r="J188" s="17">
        <f>('Q1'!AE79-J$106)/J$107</f>
        <v>-0.51682533299559941</v>
      </c>
      <c r="K188" s="17">
        <f>('Q1'!AF79-K$106)/K$107</f>
        <v>1.7065792654602234</v>
      </c>
      <c r="L188" s="17">
        <f>('Q1'!AG79-L$106)/L$107</f>
        <v>-0.36021719414334225</v>
      </c>
      <c r="M188" s="17">
        <f>('Q1'!AH79-M$106)/M$107</f>
        <v>-1.028041164691089</v>
      </c>
      <c r="N188" s="17">
        <f>('Q1'!AI79-N$106)/N$107</f>
        <v>0.82759968989681565</v>
      </c>
      <c r="O188" s="17">
        <f>('Q1'!AJ79-O$106)/O$107</f>
        <v>9.3825969950231222E-2</v>
      </c>
      <c r="P188" s="17">
        <f>('Q1'!AK79-P$106)/P$107</f>
        <v>1.454879266569294</v>
      </c>
      <c r="Q188" s="17">
        <f>('Q1'!AL79-Q$106)/Q$107</f>
        <v>-2.5536759112808185</v>
      </c>
      <c r="R188" s="17">
        <f>('Q1'!AM79-R$106)/R$107</f>
        <v>0.25726019638619446</v>
      </c>
      <c r="S188" s="17">
        <f>('Q1'!AN79-S$106)/S$107</f>
        <v>1.1141293266412266E-2</v>
      </c>
    </row>
    <row r="189" spans="2:19">
      <c r="B189" s="17">
        <f>('Q1'!W80-B$106)/B$107</f>
        <v>0.50374028050604935</v>
      </c>
      <c r="C189" s="17">
        <f>('Q1'!X80-C$106)/C$107</f>
        <v>-0.10324507635547267</v>
      </c>
      <c r="D189" s="17">
        <f>('Q1'!Y80-D$106)/D$107</f>
        <v>-2.1610234913467613E-2</v>
      </c>
      <c r="E189" s="17">
        <f>('Q1'!Z80-E$106)/E$107</f>
        <v>0.16073591779939345</v>
      </c>
      <c r="F189" s="17">
        <f>('Q1'!AA80-F$106)/F$107</f>
        <v>0.80205428963645298</v>
      </c>
      <c r="G189" s="17">
        <f>('Q1'!AB80-G$106)/G$107</f>
        <v>0.56309784939911212</v>
      </c>
      <c r="H189" s="17">
        <f>('Q1'!AC80-H$106)/H$107</f>
        <v>0.74578666048062081</v>
      </c>
      <c r="I189" s="17">
        <f>('Q1'!AD80-I$106)/I$107</f>
        <v>1.9690925749314567</v>
      </c>
      <c r="J189" s="17">
        <f>('Q1'!AE80-J$106)/J$107</f>
        <v>0.36599130282972769</v>
      </c>
      <c r="K189" s="17">
        <f>('Q1'!AF80-K$106)/K$107</f>
        <v>0.93053347016357513</v>
      </c>
      <c r="L189" s="17">
        <f>('Q1'!AG80-L$106)/L$107</f>
        <v>1.4982598118582682E-2</v>
      </c>
      <c r="M189" s="17">
        <f>('Q1'!AH80-M$106)/M$107</f>
        <v>9.0913419078676172E-2</v>
      </c>
      <c r="N189" s="17">
        <f>('Q1'!AI80-N$106)/N$107</f>
        <v>-0.59117577736427995</v>
      </c>
      <c r="O189" s="17">
        <f>('Q1'!AJ80-O$106)/O$107</f>
        <v>1.7316405882161143</v>
      </c>
      <c r="P189" s="17">
        <f>('Q1'!AK80-P$106)/P$107</f>
        <v>-0.24774929258981787</v>
      </c>
      <c r="Q189" s="17">
        <f>('Q1'!AL80-Q$106)/Q$107</f>
        <v>0.97516744899906771</v>
      </c>
      <c r="R189" s="17">
        <f>('Q1'!AM80-R$106)/R$107</f>
        <v>0.7005227376027906</v>
      </c>
      <c r="S189" s="17">
        <f>('Q1'!AN80-S$106)/S$107</f>
        <v>0.5437140979712265</v>
      </c>
    </row>
    <row r="190" spans="2:19">
      <c r="B190" s="17">
        <f>('Q1'!W81-B$106)/B$107</f>
        <v>9.4371264649293449E-2</v>
      </c>
      <c r="C190" s="17">
        <f>('Q1'!X81-C$106)/C$107</f>
        <v>0.37884179287142233</v>
      </c>
      <c r="D190" s="17">
        <f>('Q1'!Y81-D$106)/D$107</f>
        <v>0.2072592859189358</v>
      </c>
      <c r="E190" s="17">
        <f>('Q1'!Z81-E$106)/E$107</f>
        <v>0.11934028560431022</v>
      </c>
      <c r="F190" s="17">
        <f>('Q1'!AA81-F$106)/F$107</f>
        <v>1.6281423747205773E-2</v>
      </c>
      <c r="G190" s="17">
        <f>('Q1'!AB81-G$106)/G$107</f>
        <v>0.9995262449907748</v>
      </c>
      <c r="H190" s="17">
        <f>('Q1'!AC81-H$106)/H$107</f>
        <v>0.72375506173912785</v>
      </c>
      <c r="I190" s="17">
        <f>('Q1'!AD81-I$106)/I$107</f>
        <v>-0.12353134752650445</v>
      </c>
      <c r="J190" s="17">
        <f>('Q1'!AE81-J$106)/J$107</f>
        <v>0.53740461848918475</v>
      </c>
      <c r="K190" s="17">
        <f>('Q1'!AF81-K$106)/K$107</f>
        <v>0.56943974187097568</v>
      </c>
      <c r="L190" s="17">
        <f>('Q1'!AG81-L$106)/L$107</f>
        <v>0.62831473281788031</v>
      </c>
      <c r="M190" s="17">
        <f>('Q1'!AH81-M$106)/M$107</f>
        <v>0.21691490973103564</v>
      </c>
      <c r="N190" s="17">
        <f>('Q1'!AI81-N$106)/N$107</f>
        <v>0.47598348754899261</v>
      </c>
      <c r="O190" s="17">
        <f>('Q1'!AJ81-O$106)/O$107</f>
        <v>0.17171780483127169</v>
      </c>
      <c r="P190" s="17">
        <f>('Q1'!AK81-P$106)/P$107</f>
        <v>0.98374987929346336</v>
      </c>
      <c r="Q190" s="17">
        <f>('Q1'!AL81-Q$106)/Q$107</f>
        <v>0.15669793343337857</v>
      </c>
      <c r="R190" s="17">
        <f>('Q1'!AM81-R$106)/R$107</f>
        <v>0.70000253208990015</v>
      </c>
      <c r="S190" s="17">
        <f>('Q1'!AN81-S$106)/S$107</f>
        <v>0.12702267146136656</v>
      </c>
    </row>
    <row r="191" spans="2:19">
      <c r="B191" s="17">
        <f>('Q1'!W82-B$106)/B$107</f>
        <v>0.50525309980877031</v>
      </c>
      <c r="C191" s="17">
        <f>('Q1'!X82-C$106)/C$107</f>
        <v>-4.197495086630286E-2</v>
      </c>
      <c r="D191" s="17">
        <f>('Q1'!Y82-D$106)/D$107</f>
        <v>-7.7497581705790472E-3</v>
      </c>
      <c r="E191" s="17">
        <f>('Q1'!Z82-E$106)/E$107</f>
        <v>6.0539240672857687E-2</v>
      </c>
      <c r="F191" s="17">
        <f>('Q1'!AA82-F$106)/F$107</f>
        <v>0.11802366081358673</v>
      </c>
      <c r="G191" s="17">
        <f>('Q1'!AB82-G$106)/G$107</f>
        <v>7.6751956485658065E-2</v>
      </c>
      <c r="H191" s="17">
        <f>('Q1'!AC82-H$106)/H$107</f>
        <v>5.3808657127031242E-2</v>
      </c>
      <c r="I191" s="17">
        <f>('Q1'!AD82-I$106)/I$107</f>
        <v>0.29894509013093284</v>
      </c>
      <c r="J191" s="17">
        <f>('Q1'!AE82-J$106)/J$107</f>
        <v>-0.57073055737298595</v>
      </c>
      <c r="K191" s="17">
        <f>('Q1'!AF82-K$106)/K$107</f>
        <v>-1.0640426518350861</v>
      </c>
      <c r="L191" s="17">
        <f>('Q1'!AG82-L$106)/L$107</f>
        <v>0.22337994453132051</v>
      </c>
      <c r="M191" s="17">
        <f>('Q1'!AH82-M$106)/M$107</f>
        <v>0.4493874761530568</v>
      </c>
      <c r="N191" s="17">
        <f>('Q1'!AI82-N$106)/N$107</f>
        <v>-8.1180791410914596E-2</v>
      </c>
      <c r="O191" s="17">
        <f>('Q1'!AJ82-O$106)/O$107</f>
        <v>-0.34620069145277899</v>
      </c>
      <c r="P191" s="17">
        <f>('Q1'!AK82-P$106)/P$107</f>
        <v>0.24853211275924797</v>
      </c>
      <c r="Q191" s="17">
        <f>('Q1'!AL82-Q$106)/Q$107</f>
        <v>1.2827772057669589</v>
      </c>
      <c r="R191" s="17">
        <f>('Q1'!AM82-R$106)/R$107</f>
        <v>0.4705958851375236</v>
      </c>
      <c r="S191" s="17">
        <f>('Q1'!AN82-S$106)/S$107</f>
        <v>1.6671729318385706</v>
      </c>
    </row>
    <row r="192" spans="2:19">
      <c r="B192" s="17">
        <f>('Q1'!W83-B$106)/B$107</f>
        <v>-0.10454833998548289</v>
      </c>
      <c r="C192" s="17">
        <f>('Q1'!X83-C$106)/C$107</f>
        <v>-9.6056584814999721E-2</v>
      </c>
      <c r="D192" s="17">
        <f>('Q1'!Y83-D$106)/D$107</f>
        <v>-0.33383706232844523</v>
      </c>
      <c r="E192" s="17">
        <f>('Q1'!Z83-E$106)/E$107</f>
        <v>-0.12183931910106853</v>
      </c>
      <c r="F192" s="17">
        <f>('Q1'!AA83-F$106)/F$107</f>
        <v>-0.64529405821569896</v>
      </c>
      <c r="G192" s="17">
        <f>('Q1'!AB83-G$106)/G$107</f>
        <v>-0.39764868426612388</v>
      </c>
      <c r="H192" s="17">
        <f>('Q1'!AC83-H$106)/H$107</f>
        <v>1.3723094742139754</v>
      </c>
      <c r="I192" s="17">
        <f>('Q1'!AD83-I$106)/I$107</f>
        <v>-0.23772405315006581</v>
      </c>
      <c r="J192" s="17">
        <f>('Q1'!AE83-J$106)/J$107</f>
        <v>0.71799416261987326</v>
      </c>
      <c r="K192" s="17">
        <f>('Q1'!AF83-K$106)/K$107</f>
        <v>0.45317196128037596</v>
      </c>
      <c r="L192" s="17">
        <f>('Q1'!AG83-L$106)/L$107</f>
        <v>8.6149547466501331E-2</v>
      </c>
      <c r="M192" s="17">
        <f>('Q1'!AH83-M$106)/M$107</f>
        <v>-7.8657343061102794E-2</v>
      </c>
      <c r="N192" s="17">
        <f>('Q1'!AI83-N$106)/N$107</f>
        <v>-0.466679193266474</v>
      </c>
      <c r="O192" s="17">
        <f>('Q1'!AJ83-O$106)/O$107</f>
        <v>1.7003607819856412E-2</v>
      </c>
      <c r="P192" s="17">
        <f>('Q1'!AK83-P$106)/P$107</f>
        <v>0.94691157002665549</v>
      </c>
      <c r="Q192" s="17">
        <f>('Q1'!AL83-Q$106)/Q$107</f>
        <v>0.29140119751769</v>
      </c>
      <c r="R192" s="17">
        <f>('Q1'!AM83-R$106)/R$107</f>
        <v>0.1328366284469373</v>
      </c>
      <c r="S192" s="17">
        <f>('Q1'!AN83-S$106)/S$107</f>
        <v>-0.1573672591063239</v>
      </c>
    </row>
    <row r="193" spans="2:19">
      <c r="B193" s="17">
        <f>('Q1'!W84-B$106)/B$107</f>
        <v>0.55239344834429749</v>
      </c>
      <c r="C193" s="17">
        <f>('Q1'!X84-C$106)/C$107</f>
        <v>-7.6440532062197655E-2</v>
      </c>
      <c r="D193" s="17">
        <f>('Q1'!Y84-D$106)/D$107</f>
        <v>0.38605745570867206</v>
      </c>
      <c r="E193" s="17">
        <f>('Q1'!Z84-E$106)/E$107</f>
        <v>1.1296607942238994</v>
      </c>
      <c r="F193" s="17">
        <f>('Q1'!AA84-F$106)/F$107</f>
        <v>-0.21570252401652512</v>
      </c>
      <c r="G193" s="17">
        <f>('Q1'!AB84-G$106)/G$107</f>
        <v>-0.80815516455294123</v>
      </c>
      <c r="H193" s="17">
        <f>('Q1'!AC84-H$106)/H$107</f>
        <v>-0.29942242007032455</v>
      </c>
      <c r="I193" s="17">
        <f>('Q1'!AD84-I$106)/I$107</f>
        <v>0.31510837959853288</v>
      </c>
      <c r="J193" s="17">
        <f>('Q1'!AE84-J$106)/J$107</f>
        <v>-0.28887907639121091</v>
      </c>
      <c r="K193" s="17">
        <f>('Q1'!AF84-K$106)/K$107</f>
        <v>-0.88531760784119584</v>
      </c>
      <c r="L193" s="17">
        <f>('Q1'!AG84-L$106)/L$107</f>
        <v>0.24953859111845081</v>
      </c>
      <c r="M193" s="17">
        <f>('Q1'!AH84-M$106)/M$107</f>
        <v>0.10080279675888289</v>
      </c>
      <c r="N193" s="17">
        <f>('Q1'!AI84-N$106)/N$107</f>
        <v>8.6244166337327857E-2</v>
      </c>
      <c r="O193" s="17">
        <f>('Q1'!AJ84-O$106)/O$107</f>
        <v>0.15998114477161857</v>
      </c>
      <c r="P193" s="17">
        <f>('Q1'!AK84-P$106)/P$107</f>
        <v>-0.90596397441265486</v>
      </c>
      <c r="Q193" s="17">
        <f>('Q1'!AL84-Q$106)/Q$107</f>
        <v>-0.34101900487661441</v>
      </c>
      <c r="R193" s="17">
        <f>('Q1'!AM84-R$106)/R$107</f>
        <v>0.10622713452067348</v>
      </c>
      <c r="S193" s="17">
        <f>('Q1'!AN84-S$106)/S$107</f>
        <v>0.74304378749766808</v>
      </c>
    </row>
    <row r="194" spans="2:19">
      <c r="B194" s="17">
        <f>('Q1'!W85-B$106)/B$107</f>
        <v>5.3157891056092088E-2</v>
      </c>
      <c r="C194" s="17">
        <f>('Q1'!X85-C$106)/C$107</f>
        <v>-0.23009147748908196</v>
      </c>
      <c r="D194" s="17">
        <f>('Q1'!Y85-D$106)/D$107</f>
        <v>0.51335217403047917</v>
      </c>
      <c r="E194" s="17">
        <f>('Q1'!Z85-E$106)/E$107</f>
        <v>-0.11213668352830705</v>
      </c>
      <c r="F194" s="17">
        <f>('Q1'!AA85-F$106)/F$107</f>
        <v>-7.0909472583653377E-2</v>
      </c>
      <c r="G194" s="17">
        <f>('Q1'!AB85-G$106)/G$107</f>
        <v>0.64151041171320178</v>
      </c>
      <c r="H194" s="17">
        <f>('Q1'!AC85-H$106)/H$107</f>
        <v>0.54464134187723712</v>
      </c>
      <c r="I194" s="17">
        <f>('Q1'!AD85-I$106)/I$107</f>
        <v>3.4841565776385731E-2</v>
      </c>
      <c r="J194" s="17">
        <f>('Q1'!AE85-J$106)/J$107</f>
        <v>1.6004991805800324</v>
      </c>
      <c r="K194" s="17">
        <f>('Q1'!AF85-K$106)/K$107</f>
        <v>0.14924739245364924</v>
      </c>
      <c r="L194" s="17">
        <f>('Q1'!AG85-L$106)/L$107</f>
        <v>-0.56625584495790615</v>
      </c>
      <c r="M194" s="17">
        <f>('Q1'!AH85-M$106)/M$107</f>
        <v>-0.58546758886667705</v>
      </c>
      <c r="N194" s="17">
        <f>('Q1'!AI85-N$106)/N$107</f>
        <v>4.2276768154934892E-3</v>
      </c>
      <c r="O194" s="17">
        <f>('Q1'!AJ85-O$106)/O$107</f>
        <v>-0.2993235882108109</v>
      </c>
      <c r="P194" s="17">
        <f>('Q1'!AK85-P$106)/P$107</f>
        <v>-0.13823911218032134</v>
      </c>
      <c r="Q194" s="17">
        <f>('Q1'!AL85-Q$106)/Q$107</f>
        <v>-0.52513321851664019</v>
      </c>
      <c r="R194" s="17">
        <f>('Q1'!AM85-R$106)/R$107</f>
        <v>0.26812974404792378</v>
      </c>
      <c r="S194" s="17">
        <f>('Q1'!AN85-S$106)/S$107</f>
        <v>0.1905720987885379</v>
      </c>
    </row>
    <row r="195" spans="2:19">
      <c r="B195" s="17">
        <f>('Q1'!W86-B$106)/B$107</f>
        <v>-0.12658634371711716</v>
      </c>
      <c r="C195" s="17">
        <f>('Q1'!X86-C$106)/C$107</f>
        <v>-0.39411240664760366</v>
      </c>
      <c r="D195" s="17">
        <f>('Q1'!Y86-D$106)/D$107</f>
        <v>-0.40343252196862051</v>
      </c>
      <c r="E195" s="17">
        <f>('Q1'!Z86-E$106)/E$107</f>
        <v>-0.76600409035834571</v>
      </c>
      <c r="F195" s="17">
        <f>('Q1'!AA86-F$106)/F$107</f>
        <v>0.19531557871731578</v>
      </c>
      <c r="G195" s="17">
        <f>('Q1'!AB86-G$106)/G$107</f>
        <v>0.52333296538780227</v>
      </c>
      <c r="H195" s="17">
        <f>('Q1'!AC86-H$106)/H$107</f>
        <v>0.79049230842688956</v>
      </c>
      <c r="I195" s="17">
        <f>('Q1'!AD86-I$106)/I$107</f>
        <v>-0.4754858013528141</v>
      </c>
      <c r="J195" s="17">
        <f>('Q1'!AE86-J$106)/J$107</f>
        <v>-0.46893396695406547</v>
      </c>
      <c r="K195" s="17">
        <f>('Q1'!AF86-K$106)/K$107</f>
        <v>-0.87375149509327088</v>
      </c>
      <c r="L195" s="17">
        <f>('Q1'!AG86-L$106)/L$107</f>
        <v>-0.34880514372074944</v>
      </c>
      <c r="M195" s="17">
        <f>('Q1'!AH86-M$106)/M$107</f>
        <v>0.64100148179718386</v>
      </c>
      <c r="N195" s="17">
        <f>('Q1'!AI86-N$106)/N$107</f>
        <v>-0.43577931485449056</v>
      </c>
      <c r="O195" s="17">
        <f>('Q1'!AJ86-O$106)/O$107</f>
        <v>6.4252499236841148E-2</v>
      </c>
      <c r="P195" s="17">
        <f>('Q1'!AK86-P$106)/P$107</f>
        <v>-0.35125644557406682</v>
      </c>
      <c r="Q195" s="17">
        <f>('Q1'!AL86-Q$106)/Q$107</f>
        <v>0.13465482995254646</v>
      </c>
      <c r="R195" s="17">
        <f>('Q1'!AM86-R$106)/R$107</f>
        <v>-1.236530284066405</v>
      </c>
      <c r="S195" s="17">
        <f>('Q1'!AN86-S$106)/S$107</f>
        <v>-0.96636136410116869</v>
      </c>
    </row>
    <row r="196" spans="2:19">
      <c r="B196" s="17">
        <f>('Q1'!W87-B$106)/B$107</f>
        <v>-0.29374687562101259</v>
      </c>
      <c r="C196" s="17">
        <f>('Q1'!X87-C$106)/C$107</f>
        <v>4.247899770032805E-2</v>
      </c>
      <c r="D196" s="17">
        <f>('Q1'!Y87-D$106)/D$107</f>
        <v>-0.36910743539234508</v>
      </c>
      <c r="E196" s="17">
        <f>('Q1'!Z87-E$106)/E$107</f>
        <v>0.22785294780621307</v>
      </c>
      <c r="F196" s="17">
        <f>('Q1'!AA87-F$106)/F$107</f>
        <v>-0.16686561894308521</v>
      </c>
      <c r="G196" s="17">
        <f>('Q1'!AB87-G$106)/G$107</f>
        <v>-8.0612438338758426E-3</v>
      </c>
      <c r="H196" s="17">
        <f>('Q1'!AC87-H$106)/H$107</f>
        <v>-0.14220207876998214</v>
      </c>
      <c r="I196" s="17">
        <f>('Q1'!AD87-I$106)/I$107</f>
        <v>-0.25129668561588042</v>
      </c>
      <c r="J196" s="17">
        <f>('Q1'!AE87-J$106)/J$107</f>
        <v>-0.16419519954299164</v>
      </c>
      <c r="K196" s="17">
        <f>('Q1'!AF87-K$106)/K$107</f>
        <v>0.31366763134506587</v>
      </c>
      <c r="L196" s="17">
        <f>('Q1'!AG87-L$106)/L$107</f>
        <v>-0.21020686119918064</v>
      </c>
      <c r="M196" s="17">
        <f>('Q1'!AH87-M$106)/M$107</f>
        <v>-0.49243245556129578</v>
      </c>
      <c r="N196" s="17">
        <f>('Q1'!AI87-N$106)/N$107</f>
        <v>-0.21164758356440316</v>
      </c>
      <c r="O196" s="17">
        <f>('Q1'!AJ87-O$106)/O$107</f>
        <v>6.8650977569638741E-3</v>
      </c>
      <c r="P196" s="17">
        <f>('Q1'!AK87-P$106)/P$107</f>
        <v>0.65399667217498381</v>
      </c>
      <c r="Q196" s="17">
        <f>('Q1'!AL87-Q$106)/Q$107</f>
        <v>-4.061035062355934E-2</v>
      </c>
      <c r="R196" s="17">
        <f>('Q1'!AM87-R$106)/R$107</f>
        <v>-0.23953453294916743</v>
      </c>
      <c r="S196" s="17">
        <f>('Q1'!AN87-S$106)/S$107</f>
        <v>0.14431204952433729</v>
      </c>
    </row>
    <row r="197" spans="2:19">
      <c r="B197" s="17">
        <f>('Q1'!W88-B$106)/B$107</f>
        <v>0.3327950834719503</v>
      </c>
      <c r="C197" s="17">
        <f>('Q1'!X88-C$106)/C$107</f>
        <v>-0.11399006515894539</v>
      </c>
      <c r="D197" s="17">
        <f>('Q1'!Y88-D$106)/D$107</f>
        <v>0.77773318172558492</v>
      </c>
      <c r="E197" s="17">
        <f>('Q1'!Z88-E$106)/E$107</f>
        <v>0.35732642140460624</v>
      </c>
      <c r="F197" s="17">
        <f>('Q1'!AA88-F$106)/F$107</f>
        <v>0.32272151424053558</v>
      </c>
      <c r="G197" s="17">
        <f>('Q1'!AB88-G$106)/G$107</f>
        <v>-0.24836825419729353</v>
      </c>
      <c r="H197" s="17">
        <f>('Q1'!AC88-H$106)/H$107</f>
        <v>-4.657457012820658E-2</v>
      </c>
      <c r="I197" s="17">
        <f>('Q1'!AD88-I$106)/I$107</f>
        <v>0.23757745709648168</v>
      </c>
      <c r="J197" s="17">
        <f>('Q1'!AE88-J$106)/J$107</f>
        <v>0.57424881504900827</v>
      </c>
      <c r="K197" s="17">
        <f>('Q1'!AF88-K$106)/K$107</f>
        <v>0.71733125641702467</v>
      </c>
      <c r="L197" s="17">
        <f>('Q1'!AG88-L$106)/L$107</f>
        <v>0.72067982732894198</v>
      </c>
      <c r="M197" s="17">
        <f>('Q1'!AH88-M$106)/M$107</f>
        <v>-0.11288843603281551</v>
      </c>
      <c r="N197" s="17">
        <f>('Q1'!AI88-N$106)/N$107</f>
        <v>0.39343805394594611</v>
      </c>
      <c r="O197" s="17">
        <f>('Q1'!AJ88-O$106)/O$107</f>
        <v>1.7220746376391476E-2</v>
      </c>
      <c r="P197" s="17">
        <f>('Q1'!AK88-P$106)/P$107</f>
        <v>0.43751137835187937</v>
      </c>
      <c r="Q197" s="17">
        <f>('Q1'!AL88-Q$106)/Q$107</f>
        <v>4.0621552741135956</v>
      </c>
      <c r="R197" s="17">
        <f>('Q1'!AM88-R$106)/R$107</f>
        <v>0.77672255346631458</v>
      </c>
      <c r="S197" s="17">
        <f>('Q1'!AN88-S$106)/S$107</f>
        <v>1.0768948652293362</v>
      </c>
    </row>
    <row r="198" spans="2:19">
      <c r="B198" s="17">
        <f>('Q1'!W89-B$106)/B$107</f>
        <v>-0.18128283649316571</v>
      </c>
      <c r="C198" s="17">
        <f>('Q1'!X89-C$106)/C$107</f>
        <v>-0.12650433081811893</v>
      </c>
      <c r="D198" s="17">
        <f>('Q1'!Y89-D$106)/D$107</f>
        <v>-0.10604304444075277</v>
      </c>
      <c r="E198" s="17">
        <f>('Q1'!Z89-E$106)/E$107</f>
        <v>0.11517820536125747</v>
      </c>
      <c r="F198" s="17">
        <f>('Q1'!AA89-F$106)/F$107</f>
        <v>0.74320061296577655</v>
      </c>
      <c r="G198" s="17">
        <f>('Q1'!AB89-G$106)/G$107</f>
        <v>-0.78290338165782847</v>
      </c>
      <c r="H198" s="17">
        <f>('Q1'!AC89-H$106)/H$107</f>
        <v>1.0498509847354485</v>
      </c>
      <c r="I198" s="17">
        <f>('Q1'!AD89-I$106)/I$107</f>
        <v>-0.30154703613808725</v>
      </c>
      <c r="J198" s="17">
        <f>('Q1'!AE89-J$106)/J$107</f>
        <v>0.88626446961515326</v>
      </c>
      <c r="K198" s="17">
        <f>('Q1'!AF89-K$106)/K$107</f>
        <v>0.5755742052752455</v>
      </c>
      <c r="L198" s="17">
        <f>('Q1'!AG89-L$106)/L$107</f>
        <v>0.70088602240377484</v>
      </c>
      <c r="M198" s="17">
        <f>('Q1'!AH89-M$106)/M$107</f>
        <v>0.66142620081717174</v>
      </c>
      <c r="N198" s="17">
        <f>('Q1'!AI89-N$106)/N$107</f>
        <v>-5.0646170666044717E-2</v>
      </c>
      <c r="O198" s="17">
        <f>('Q1'!AJ89-O$106)/O$107</f>
        <v>1.8791756705089353</v>
      </c>
      <c r="P198" s="17">
        <f>('Q1'!AK89-P$106)/P$107</f>
        <v>1.7050875438685584</v>
      </c>
      <c r="Q198" s="17">
        <f>('Q1'!AL89-Q$106)/Q$107</f>
        <v>0.82521191635736391</v>
      </c>
      <c r="R198" s="17">
        <f>('Q1'!AM89-R$106)/R$107</f>
        <v>0.162886181523827</v>
      </c>
      <c r="S198" s="17">
        <f>('Q1'!AN89-S$106)/S$107</f>
        <v>0.50148180458193448</v>
      </c>
    </row>
    <row r="199" spans="2:19">
      <c r="B199" s="17">
        <f>('Q1'!W90-B$106)/B$107</f>
        <v>-0.27320960421981982</v>
      </c>
      <c r="C199" s="17">
        <f>('Q1'!X90-C$106)/C$107</f>
        <v>-0.32115155420803243</v>
      </c>
      <c r="D199" s="17">
        <f>('Q1'!Y90-D$106)/D$107</f>
        <v>-0.89649767978329831</v>
      </c>
      <c r="E199" s="17">
        <f>('Q1'!Z90-E$106)/E$107</f>
        <v>-0.44752493194669829</v>
      </c>
      <c r="F199" s="17">
        <f>('Q1'!AA90-F$106)/F$107</f>
        <v>-0.5363240305480349</v>
      </c>
      <c r="G199" s="17">
        <f>('Q1'!AB90-G$106)/G$107</f>
        <v>-0.10370469736845875</v>
      </c>
      <c r="H199" s="17">
        <f>('Q1'!AC90-H$106)/H$107</f>
        <v>-0.15426427191936101</v>
      </c>
      <c r="I199" s="17">
        <f>('Q1'!AD90-I$106)/I$107</f>
        <v>-0.88014912497745701</v>
      </c>
      <c r="J199" s="17">
        <f>('Q1'!AE90-J$106)/J$107</f>
        <v>-0.59324553439108152</v>
      </c>
      <c r="K199" s="17">
        <f>('Q1'!AF90-K$106)/K$107</f>
        <v>-1.0570898518512339</v>
      </c>
      <c r="L199" s="17">
        <f>('Q1'!AG90-L$106)/L$107</f>
        <v>-0.76686710234426148</v>
      </c>
      <c r="M199" s="17">
        <f>('Q1'!AH90-M$106)/M$107</f>
        <v>0.14050781557919864</v>
      </c>
      <c r="N199" s="17">
        <f>('Q1'!AI90-N$106)/N$107</f>
        <v>-0.33318497463571389</v>
      </c>
      <c r="O199" s="17">
        <f>('Q1'!AJ90-O$106)/O$107</f>
        <v>-0.280084435718506</v>
      </c>
      <c r="P199" s="17">
        <f>('Q1'!AK90-P$106)/P$107</f>
        <v>-0.16967988244340684</v>
      </c>
      <c r="Q199" s="17">
        <f>('Q1'!AL90-Q$106)/Q$107</f>
        <v>-0.25300902969662381</v>
      </c>
      <c r="R199" s="17">
        <f>('Q1'!AM90-R$106)/R$107</f>
        <v>-0.60644649709971343</v>
      </c>
      <c r="S199" s="17">
        <f>('Q1'!AN90-S$106)/S$107</f>
        <v>-0.21826453904435908</v>
      </c>
    </row>
    <row r="200" spans="2:19">
      <c r="B200" s="17">
        <f>('Q1'!W91-B$106)/B$107</f>
        <v>-3.737808445968123E-2</v>
      </c>
      <c r="C200" s="17">
        <f>('Q1'!X91-C$106)/C$107</f>
        <v>-0.36499998396254718</v>
      </c>
      <c r="D200" s="17">
        <f>('Q1'!Y91-D$106)/D$107</f>
        <v>-1.2078659334449777</v>
      </c>
      <c r="E200" s="17">
        <f>('Q1'!Z91-E$106)/E$107</f>
        <v>-0.81484473887540521</v>
      </c>
      <c r="F200" s="17">
        <f>('Q1'!AA91-F$106)/F$107</f>
        <v>-0.57497739949989235</v>
      </c>
      <c r="G200" s="17">
        <f>('Q1'!AB91-G$106)/G$107</f>
        <v>-0.77803483946299223</v>
      </c>
      <c r="H200" s="17">
        <f>('Q1'!AC91-H$106)/H$107</f>
        <v>-0.16933837149534914</v>
      </c>
      <c r="I200" s="17">
        <f>('Q1'!AD91-I$106)/I$107</f>
        <v>6.6608247385988195E-2</v>
      </c>
      <c r="J200" s="17">
        <f>('Q1'!AE91-J$106)/J$107</f>
        <v>-1.1154658258566659</v>
      </c>
      <c r="K200" s="17">
        <f>('Q1'!AF91-K$106)/K$107</f>
        <v>-1.3989536395980458</v>
      </c>
      <c r="L200" s="17">
        <f>('Q1'!AG91-L$106)/L$107</f>
        <v>-0.59694949337317371</v>
      </c>
      <c r="M200" s="17">
        <f>('Q1'!AH91-M$106)/M$107</f>
        <v>-1.0621314412575658</v>
      </c>
      <c r="N200" s="17">
        <f>('Q1'!AI91-N$106)/N$107</f>
        <v>-0.59778514021641171</v>
      </c>
      <c r="O200" s="17">
        <f>('Q1'!AJ91-O$106)/O$107</f>
        <v>-1.0896867984922287</v>
      </c>
      <c r="P200" s="17">
        <f>('Q1'!AK91-P$106)/P$107</f>
        <v>0.48713717257881595</v>
      </c>
      <c r="Q200" s="17">
        <f>('Q1'!AL91-Q$106)/Q$107</f>
        <v>0.9873247697126647</v>
      </c>
      <c r="R200" s="17">
        <f>('Q1'!AM91-R$106)/R$107</f>
        <v>-0.35261969881426952</v>
      </c>
      <c r="S200" s="17">
        <f>('Q1'!AN91-S$106)/S$107</f>
        <v>0.61763691150934075</v>
      </c>
    </row>
    <row r="201" spans="2:19">
      <c r="B201" s="17">
        <f>('Q1'!W92-B$106)/B$107</f>
        <v>-1.0031002169690966</v>
      </c>
      <c r="C201" s="17">
        <f>('Q1'!X92-C$106)/C$107</f>
        <v>0.52990239287092178</v>
      </c>
      <c r="D201" s="17">
        <f>('Q1'!Y92-D$106)/D$107</f>
        <v>0.10120694888762179</v>
      </c>
      <c r="E201" s="17">
        <f>('Q1'!Z92-E$106)/E$107</f>
        <v>3.2973536283390982E-2</v>
      </c>
      <c r="F201" s="17">
        <f>('Q1'!AA92-F$106)/F$107</f>
        <v>-0.37578736540854424</v>
      </c>
      <c r="G201" s="17">
        <f>('Q1'!AB92-G$106)/G$107</f>
        <v>-1.014933617826725</v>
      </c>
      <c r="H201" s="17">
        <f>('Q1'!AC92-H$106)/H$107</f>
        <v>1.3989890414860633</v>
      </c>
      <c r="I201" s="17">
        <f>('Q1'!AD92-I$106)/I$107</f>
        <v>1.0658358545705331</v>
      </c>
      <c r="J201" s="17">
        <f>('Q1'!AE92-J$106)/J$107</f>
        <v>0.18229647098470367</v>
      </c>
      <c r="K201" s="17">
        <f>('Q1'!AF92-K$106)/K$107</f>
        <v>0.8671414814335785</v>
      </c>
      <c r="L201" s="17">
        <f>('Q1'!AG92-L$106)/L$107</f>
        <v>-7.6434756872162765E-2</v>
      </c>
      <c r="M201" s="17">
        <f>('Q1'!AH92-M$106)/M$107</f>
        <v>-0.44964655517994612</v>
      </c>
      <c r="N201" s="17">
        <f>('Q1'!AI92-N$106)/N$107</f>
        <v>0.87114373786001476</v>
      </c>
      <c r="O201" s="17">
        <f>('Q1'!AJ92-O$106)/O$107</f>
        <v>0.92518243650669874</v>
      </c>
      <c r="P201" s="17">
        <f>('Q1'!AK92-P$106)/P$107</f>
        <v>0.22810758048333182</v>
      </c>
      <c r="Q201" s="17">
        <f>('Q1'!AL92-Q$106)/Q$107</f>
        <v>-3.4071622904179651E-2</v>
      </c>
      <c r="R201" s="17">
        <f>('Q1'!AM92-R$106)/R$107</f>
        <v>-0.26134452418810494</v>
      </c>
      <c r="S201" s="17">
        <f>('Q1'!AN92-S$106)/S$107</f>
        <v>0.66324702259883073</v>
      </c>
    </row>
    <row r="202" spans="2:19">
      <c r="B202" s="17">
        <f>('Q1'!W93-B$106)/B$107</f>
        <v>-7.804892414255131E-2</v>
      </c>
      <c r="C202" s="17">
        <f>('Q1'!X93-C$106)/C$107</f>
        <v>-0.16595980950000624</v>
      </c>
      <c r="D202" s="17">
        <f>('Q1'!Y93-D$106)/D$107</f>
        <v>0.21586072822335753</v>
      </c>
      <c r="E202" s="17">
        <f>('Q1'!Z93-E$106)/E$107</f>
        <v>3.7027966622214442E-2</v>
      </c>
      <c r="F202" s="17">
        <f>('Q1'!AA93-F$106)/F$107</f>
        <v>0.88067673163063798</v>
      </c>
      <c r="G202" s="17">
        <f>('Q1'!AB93-G$106)/G$107</f>
        <v>7.3115366470118126E-2</v>
      </c>
      <c r="H202" s="17">
        <f>('Q1'!AC93-H$106)/H$107</f>
        <v>0.92394055610821957</v>
      </c>
      <c r="I202" s="17">
        <f>('Q1'!AD93-I$106)/I$107</f>
        <v>1.3674280271055326</v>
      </c>
      <c r="J202" s="17">
        <f>('Q1'!AE93-J$106)/J$107</f>
        <v>-0.24675374201412967</v>
      </c>
      <c r="K202" s="17">
        <f>('Q1'!AF93-K$106)/K$107</f>
        <v>-0.14452902496688783</v>
      </c>
      <c r="L202" s="17">
        <f>('Q1'!AG93-L$106)/L$107</f>
        <v>2.32379473346104E-2</v>
      </c>
      <c r="M202" s="17">
        <f>('Q1'!AH93-M$106)/M$107</f>
        <v>-0.97628624811558629</v>
      </c>
      <c r="N202" s="17">
        <f>('Q1'!AI93-N$106)/N$107</f>
        <v>-0.31603688627992449</v>
      </c>
      <c r="O202" s="17">
        <f>('Q1'!AJ93-O$106)/O$107</f>
        <v>1.6304418842173716</v>
      </c>
      <c r="P202" s="17">
        <f>('Q1'!AK93-P$106)/P$107</f>
        <v>0.74578118448288844</v>
      </c>
      <c r="Q202" s="17">
        <f>('Q1'!AL93-Q$106)/Q$107</f>
        <v>1.125002046634421</v>
      </c>
      <c r="R202" s="17">
        <f>('Q1'!AM93-R$106)/R$107</f>
        <v>0.21217759102478165</v>
      </c>
      <c r="S202" s="17">
        <f>('Q1'!AN93-S$106)/S$107</f>
        <v>8.6231624308846261E-2</v>
      </c>
    </row>
    <row r="203" spans="2:19">
      <c r="B203" s="17">
        <f>('Q1'!W94-B$106)/B$107</f>
        <v>0.30950631369808967</v>
      </c>
      <c r="C203" s="17">
        <f>('Q1'!X94-C$106)/C$107</f>
        <v>-0.34083526687886195</v>
      </c>
      <c r="D203" s="17">
        <f>('Q1'!Y94-D$106)/D$107</f>
        <v>0.17522526812138634</v>
      </c>
      <c r="E203" s="17">
        <f>('Q1'!Z94-E$106)/E$107</f>
        <v>-0.90231630552124731</v>
      </c>
      <c r="F203" s="17">
        <f>('Q1'!AA94-F$106)/F$107</f>
        <v>6.9186242421124866E-2</v>
      </c>
      <c r="G203" s="17">
        <f>('Q1'!AB94-G$106)/G$107</f>
        <v>-0.11028814927637766</v>
      </c>
      <c r="H203" s="17">
        <f>('Q1'!AC94-H$106)/H$107</f>
        <v>0.39459740556944889</v>
      </c>
      <c r="I203" s="17">
        <f>('Q1'!AD94-I$106)/I$107</f>
        <v>-0.37850708201467065</v>
      </c>
      <c r="J203" s="17">
        <f>('Q1'!AE94-J$106)/J$107</f>
        <v>0.24663733445705294</v>
      </c>
      <c r="K203" s="17">
        <f>('Q1'!AF94-K$106)/K$107</f>
        <v>5.4068134688583944E-2</v>
      </c>
      <c r="L203" s="17">
        <f>('Q1'!AG94-L$106)/L$107</f>
        <v>0.17642199498055308</v>
      </c>
      <c r="M203" s="17">
        <f>('Q1'!AH94-M$106)/M$107</f>
        <v>-0.16709073837374494</v>
      </c>
      <c r="N203" s="17">
        <f>('Q1'!AI94-N$106)/N$107</f>
        <v>-0.66279933407164826</v>
      </c>
      <c r="O203" s="17">
        <f>('Q1'!AJ94-O$106)/O$107</f>
        <v>-0.39950126613072068</v>
      </c>
      <c r="P203" s="17">
        <f>('Q1'!AK94-P$106)/P$107</f>
        <v>1.9164481036753549</v>
      </c>
      <c r="Q203" s="17">
        <f>('Q1'!AL94-Q$106)/Q$107</f>
        <v>-0.50620483421461326</v>
      </c>
      <c r="R203" s="17">
        <f>('Q1'!AM94-R$106)/R$107</f>
        <v>2.9617718262516948</v>
      </c>
      <c r="S203" s="17">
        <f>('Q1'!AN94-S$106)/S$107</f>
        <v>-0.29389506302504459</v>
      </c>
    </row>
    <row r="204" spans="2:19">
      <c r="B204" s="17">
        <f>('Q1'!W95-B$106)/B$107</f>
        <v>-0.79120095163882798</v>
      </c>
      <c r="C204" s="17">
        <f>('Q1'!X95-C$106)/C$107</f>
        <v>-0.49599209146481965</v>
      </c>
      <c r="D204" s="17">
        <f>('Q1'!Y95-D$106)/D$107</f>
        <v>-0.38120928903073986</v>
      </c>
      <c r="E204" s="17">
        <f>('Q1'!Z95-E$106)/E$107</f>
        <v>-1.7875962403685528</v>
      </c>
      <c r="F204" s="17">
        <f>('Q1'!AA95-F$106)/F$107</f>
        <v>-0.76162404822555319</v>
      </c>
      <c r="G204" s="17">
        <f>('Q1'!AB95-G$106)/G$107</f>
        <v>-0.6538976053243567</v>
      </c>
      <c r="H204" s="17">
        <f>('Q1'!AC95-H$106)/H$107</f>
        <v>1.1461534765865578</v>
      </c>
      <c r="I204" s="17">
        <f>('Q1'!AD95-I$106)/I$107</f>
        <v>1.2239329911819004</v>
      </c>
      <c r="J204" s="17">
        <f>('Q1'!AE95-J$106)/J$107</f>
        <v>-1.2305155166621669</v>
      </c>
      <c r="K204" s="17">
        <f>('Q1'!AF95-K$106)/K$107</f>
        <v>-0.63841522434909614</v>
      </c>
      <c r="L204" s="17">
        <f>('Q1'!AG95-L$106)/L$107</f>
        <v>-0.45028379235527999</v>
      </c>
      <c r="M204" s="17">
        <f>('Q1'!AH95-M$106)/M$107</f>
        <v>-1.6241983704676177</v>
      </c>
      <c r="N204" s="17">
        <f>('Q1'!AI95-N$106)/N$107</f>
        <v>-0.67796148144927604</v>
      </c>
      <c r="O204" s="17">
        <f>('Q1'!AJ95-O$106)/O$107</f>
        <v>-0.15291219431168587</v>
      </c>
      <c r="P204" s="17">
        <f>('Q1'!AK95-P$106)/P$107</f>
        <v>-0.60111971129755237</v>
      </c>
      <c r="Q204" s="17">
        <f>('Q1'!AL95-Q$106)/Q$107</f>
        <v>-4.6795060452808637E-2</v>
      </c>
      <c r="R204" s="17">
        <f>('Q1'!AM95-R$106)/R$107</f>
        <v>-1.2369893175059616</v>
      </c>
      <c r="S204" s="17">
        <f>('Q1'!AN95-S$106)/S$107</f>
        <v>-1.4054047695289136</v>
      </c>
    </row>
    <row r="205" spans="2:19">
      <c r="B205" s="17">
        <f>('Q1'!W96-B$106)/B$107</f>
        <v>-1.1268077497335365</v>
      </c>
      <c r="C205" s="17">
        <f>('Q1'!X96-C$106)/C$107</f>
        <v>-1.0487778272300681</v>
      </c>
      <c r="D205" s="17">
        <f>('Q1'!Y96-D$106)/D$107</f>
        <v>-0.6369464718561223</v>
      </c>
      <c r="E205" s="17">
        <f>('Q1'!Z96-E$106)/E$107</f>
        <v>-0.92092923065437615</v>
      </c>
      <c r="F205" s="17">
        <f>('Q1'!AA96-F$106)/F$107</f>
        <v>-1.6290150105306278</v>
      </c>
      <c r="G205" s="17">
        <f>('Q1'!AB96-G$106)/G$107</f>
        <v>-1.0686574819665431</v>
      </c>
      <c r="H205" s="17">
        <f>('Q1'!AC96-H$106)/H$107</f>
        <v>0.84129749435076417</v>
      </c>
      <c r="I205" s="17">
        <f>('Q1'!AD96-I$106)/I$107</f>
        <v>-0.30329968789921546</v>
      </c>
      <c r="J205" s="17">
        <f>('Q1'!AE96-J$106)/J$107</f>
        <v>-0.95275264312251229</v>
      </c>
      <c r="K205" s="17">
        <f>('Q1'!AF96-K$106)/K$107</f>
        <v>-0.59009650347217124</v>
      </c>
      <c r="L205" s="17">
        <f>('Q1'!AG96-L$106)/L$107</f>
        <v>-1.4267519990336972</v>
      </c>
      <c r="M205" s="17">
        <f>('Q1'!AH96-M$106)/M$107</f>
        <v>0.70300220749385212</v>
      </c>
      <c r="N205" s="17">
        <f>('Q1'!AI96-N$106)/N$107</f>
        <v>-0.84402823229291823</v>
      </c>
      <c r="O205" s="17">
        <f>('Q1'!AJ96-O$106)/O$107</f>
        <v>-1.1139898038353617</v>
      </c>
      <c r="P205" s="17">
        <f>('Q1'!AK96-P$106)/P$107</f>
        <v>0.55398646066379409</v>
      </c>
      <c r="Q205" s="17">
        <f>('Q1'!AL96-Q$106)/Q$107</f>
        <v>9.1257877004333084E-3</v>
      </c>
      <c r="R205" s="17">
        <f>('Q1'!AM96-R$106)/R$107</f>
        <v>0.63647186616076268</v>
      </c>
      <c r="S205" s="17">
        <f>('Q1'!AN96-S$106)/S$107</f>
        <v>0.34100573577662502</v>
      </c>
    </row>
    <row r="206" spans="2:19">
      <c r="B206" s="17">
        <f>('Q1'!W97-B$106)/B$107</f>
        <v>-0.5951640593265265</v>
      </c>
      <c r="C206" s="17">
        <f>('Q1'!X97-C$106)/C$107</f>
        <v>0.68237026925259303</v>
      </c>
      <c r="D206" s="17">
        <f>('Q1'!Y97-D$106)/D$107</f>
        <v>0.8840008592945664</v>
      </c>
      <c r="E206" s="17">
        <f>('Q1'!Z97-E$106)/E$107</f>
        <v>-0.39483410989176121</v>
      </c>
      <c r="F206" s="17">
        <f>('Q1'!AA97-F$106)/F$107</f>
        <v>-0.20431270821106487</v>
      </c>
      <c r="G206" s="17">
        <f>('Q1'!AB97-G$106)/G$107</f>
        <v>0.49053202912563698</v>
      </c>
      <c r="H206" s="17">
        <f>('Q1'!AC97-H$106)/H$107</f>
        <v>-0.87718633051378958</v>
      </c>
      <c r="I206" s="17">
        <f>('Q1'!AD97-I$106)/I$107</f>
        <v>-2.2943310814225266</v>
      </c>
      <c r="J206" s="17">
        <f>('Q1'!AE97-J$106)/J$107</f>
        <v>0.66137743508099989</v>
      </c>
      <c r="K206" s="17">
        <f>('Q1'!AF97-K$106)/K$107</f>
        <v>0.39032876425762753</v>
      </c>
      <c r="L206" s="17">
        <f>('Q1'!AG97-L$106)/L$107</f>
        <v>-0.73445632309677022</v>
      </c>
      <c r="M206" s="17">
        <f>('Q1'!AH97-M$106)/M$107</f>
        <v>-0.51507500795023797</v>
      </c>
      <c r="N206" s="17">
        <f>('Q1'!AI97-N$106)/N$107</f>
        <v>1.4357111621369034</v>
      </c>
      <c r="O206" s="17">
        <f>('Q1'!AJ97-O$106)/O$107</f>
        <v>-0.62618420430319888</v>
      </c>
      <c r="P206" s="17">
        <f>('Q1'!AK97-P$106)/P$107</f>
        <v>-3.0965121473979411</v>
      </c>
      <c r="Q206" s="17">
        <f>('Q1'!AL97-Q$106)/Q$107</f>
        <v>-1.4313800202143903</v>
      </c>
      <c r="R206" s="17">
        <f>('Q1'!AM97-R$106)/R$107</f>
        <v>-1.2003879159191475</v>
      </c>
      <c r="S206" s="17">
        <f>('Q1'!AN97-S$106)/S$107</f>
        <v>-0.22295573917590628</v>
      </c>
    </row>
    <row r="207" spans="2:19">
      <c r="B207" s="17">
        <f>('Q1'!W98-B$106)/B$107</f>
        <v>-0.11022944814798288</v>
      </c>
      <c r="C207" s="17">
        <f>('Q1'!X98-C$106)/C$107</f>
        <v>-0.99730040064050185</v>
      </c>
      <c r="D207" s="17">
        <f>('Q1'!Y98-D$106)/D$107</f>
        <v>-1.7172219004091602</v>
      </c>
      <c r="E207" s="17">
        <f>('Q1'!Z98-E$106)/E$107</f>
        <v>-1.3004793334682299</v>
      </c>
      <c r="F207" s="17">
        <f>('Q1'!AA98-F$106)/F$107</f>
        <v>-1.5026089452294957</v>
      </c>
      <c r="G207" s="17">
        <f>('Q1'!AB98-G$106)/G$107</f>
        <v>-0.90454584530111226</v>
      </c>
      <c r="H207" s="17">
        <f>('Q1'!AC98-H$106)/H$107</f>
        <v>-0.50814449215826951</v>
      </c>
      <c r="I207" s="17">
        <f>('Q1'!AD98-I$106)/I$107</f>
        <v>0.18029090392016767</v>
      </c>
      <c r="J207" s="17">
        <f>('Q1'!AE98-J$106)/J$107</f>
        <v>-0.76960225931653004</v>
      </c>
      <c r="K207" s="17">
        <f>('Q1'!AF98-K$106)/K$107</f>
        <v>-0.83165983225775009</v>
      </c>
      <c r="L207" s="17">
        <f>('Q1'!AG98-L$106)/L$107</f>
        <v>-1.626543861199133</v>
      </c>
      <c r="M207" s="17">
        <f>('Q1'!AH98-M$106)/M$107</f>
        <v>1.0580336212772476</v>
      </c>
      <c r="N207" s="17">
        <f>('Q1'!AI98-N$106)/N$107</f>
        <v>-1.8336867427573189</v>
      </c>
      <c r="O207" s="17">
        <f>('Q1'!AJ98-O$106)/O$107</f>
        <v>-0.17845188410101079</v>
      </c>
      <c r="P207" s="17">
        <f>('Q1'!AK98-P$106)/P$107</f>
        <v>-0.92390161347016375</v>
      </c>
      <c r="Q207" s="17">
        <f>('Q1'!AL98-Q$106)/Q$107</f>
        <v>-1.5017552348562595</v>
      </c>
      <c r="R207" s="17">
        <f>('Q1'!AM98-R$106)/R$107</f>
        <v>-2.2151686491574538</v>
      </c>
      <c r="S207" s="17">
        <f>('Q1'!AN98-S$106)/S$107</f>
        <v>0.78047593359553968</v>
      </c>
    </row>
    <row r="208" spans="2:19">
      <c r="B208" s="17">
        <f>('Q1'!W99-B$106)/B$107</f>
        <v>-0.36594907704142732</v>
      </c>
      <c r="C208" s="17">
        <f>('Q1'!X99-C$106)/C$107</f>
        <v>-0.50973606175640618</v>
      </c>
      <c r="D208" s="17">
        <f>('Q1'!Y99-D$106)/D$107</f>
        <v>0.53843111672332267</v>
      </c>
      <c r="E208" s="17">
        <f>('Q1'!Z99-E$106)/E$107</f>
        <v>-0.8540063968699787</v>
      </c>
      <c r="F208" s="17">
        <f>('Q1'!AA99-F$106)/F$107</f>
        <v>-1.778111471928973</v>
      </c>
      <c r="G208" s="17">
        <f>('Q1'!AB99-G$106)/G$107</f>
        <v>-0.58632477159168161</v>
      </c>
      <c r="H208" s="17">
        <f>('Q1'!AC99-H$106)/H$107</f>
        <v>-0.86276986795830024</v>
      </c>
      <c r="I208" s="17">
        <f>('Q1'!AD99-I$106)/I$107</f>
        <v>1.0083244441048627</v>
      </c>
      <c r="J208" s="17">
        <f>('Q1'!AE99-J$106)/J$107</f>
        <v>-0.34388067463515515</v>
      </c>
      <c r="K208" s="17">
        <f>('Q1'!AF99-K$106)/K$107</f>
        <v>-0.84952892217940446</v>
      </c>
      <c r="L208" s="17">
        <f>('Q1'!AG99-L$106)/L$107</f>
        <v>0.25353767551926071</v>
      </c>
      <c r="M208" s="17">
        <f>('Q1'!AH99-M$106)/M$107</f>
        <v>0.19307802852220241</v>
      </c>
      <c r="N208" s="17">
        <f>('Q1'!AI99-N$106)/N$107</f>
        <v>-4.8077857666463102E-2</v>
      </c>
      <c r="O208" s="17">
        <f>('Q1'!AJ99-O$106)/O$107</f>
        <v>-1.3963514694808128</v>
      </c>
      <c r="P208" s="17">
        <f>('Q1'!AK99-P$106)/P$107</f>
        <v>1.103609527184843</v>
      </c>
      <c r="Q208" s="17">
        <f>('Q1'!AL99-Q$106)/Q$107</f>
        <v>0.65786644486669943</v>
      </c>
      <c r="R208" s="17">
        <f>('Q1'!AM99-R$106)/R$107</f>
        <v>0.44204840028370268</v>
      </c>
      <c r="S208" s="17">
        <f>('Q1'!AN99-S$106)/S$107</f>
        <v>0.11441118488226786</v>
      </c>
    </row>
    <row r="209" spans="2:19">
      <c r="B209" s="17">
        <f>('Q1'!W100-B$106)/B$107</f>
        <v>0.38931677799524056</v>
      </c>
      <c r="C209" s="17">
        <f>('Q1'!X100-C$106)/C$107</f>
        <v>-3.0596280552991979E-2</v>
      </c>
      <c r="D209" s="17">
        <f>('Q1'!Y100-D$106)/D$107</f>
        <v>1.1610872548675608</v>
      </c>
      <c r="E209" s="17">
        <f>('Q1'!Z100-E$106)/E$107</f>
        <v>1.5199875019393136</v>
      </c>
      <c r="F209" s="17">
        <f>('Q1'!AA100-F$106)/F$107</f>
        <v>1.4649171734701572</v>
      </c>
      <c r="G209" s="17">
        <f>('Q1'!AB100-G$106)/G$107</f>
        <v>0.72614299564957019</v>
      </c>
      <c r="H209" s="17">
        <f>('Q1'!AC100-H$106)/H$107</f>
        <v>0.40708673208446822</v>
      </c>
      <c r="I209" s="17">
        <f>('Q1'!AD100-I$106)/I$107</f>
        <v>-0.99756066949917288</v>
      </c>
      <c r="J209" s="17">
        <f>('Q1'!AE100-J$106)/J$107</f>
        <v>0.11181185568103141</v>
      </c>
      <c r="K209" s="17">
        <f>('Q1'!AF100-K$106)/K$107</f>
        <v>-0.71508818432946475</v>
      </c>
      <c r="L209" s="17">
        <f>('Q1'!AG100-L$106)/L$107</f>
        <v>0.9717037967329456</v>
      </c>
      <c r="M209" s="17">
        <f>('Q1'!AH100-M$106)/M$107</f>
        <v>0.26072059514051138</v>
      </c>
      <c r="N209" s="17">
        <f>('Q1'!AI100-N$106)/N$107</f>
        <v>0.15147728634180282</v>
      </c>
      <c r="O209" s="17">
        <f>('Q1'!AJ100-O$106)/O$107</f>
        <v>0.89093590508133558</v>
      </c>
      <c r="P209" s="17">
        <f>('Q1'!AK100-P$106)/P$107</f>
        <v>1.6857942471943583</v>
      </c>
      <c r="Q209" s="17">
        <f>('Q1'!AL100-Q$106)/Q$107</f>
        <v>0.63334923837429968</v>
      </c>
      <c r="R209" s="17">
        <f>('Q1'!AM100-R$106)/R$107</f>
        <v>-8.7985079546079273E-2</v>
      </c>
      <c r="S209" s="17">
        <f>('Q1'!AN100-S$106)/S$107</f>
        <v>0.57569547556750145</v>
      </c>
    </row>
    <row r="210" spans="2:19">
      <c r="B210" s="17">
        <f>('Q1'!W101-B$106)/B$107</f>
        <v>-1.5250439521300538</v>
      </c>
      <c r="C210" s="17">
        <f>('Q1'!X101-C$106)/C$107</f>
        <v>-0.94428582271675132</v>
      </c>
      <c r="D210" s="17">
        <f>('Q1'!Y101-D$106)/D$107</f>
        <v>-1.1912481963315054</v>
      </c>
      <c r="E210" s="17">
        <f>('Q1'!Z101-E$106)/E$107</f>
        <v>-1.1733609041031168</v>
      </c>
      <c r="F210" s="17">
        <f>('Q1'!AA101-F$106)/F$107</f>
        <v>-0.22074063888944398</v>
      </c>
      <c r="G210" s="17">
        <f>('Q1'!AB101-G$106)/G$107</f>
        <v>-0.57397517044958546</v>
      </c>
      <c r="H210" s="17">
        <f>('Q1'!AC101-H$106)/H$107</f>
        <v>-0.5767133743298869</v>
      </c>
      <c r="I210" s="17">
        <f>('Q1'!AD101-I$106)/I$107</f>
        <v>-0.33151472334302962</v>
      </c>
      <c r="J210" s="17">
        <f>('Q1'!AE101-J$106)/J$107</f>
        <v>-3.5993111020837493E-2</v>
      </c>
      <c r="K210" s="17">
        <f>('Q1'!AF101-K$106)/K$107</f>
        <v>-0.68395780547141094</v>
      </c>
      <c r="L210" s="17">
        <f>('Q1'!AG101-L$106)/L$107</f>
        <v>-0.46250942043199045</v>
      </c>
      <c r="M210" s="17">
        <f>('Q1'!AH101-M$106)/M$107</f>
        <v>-1.1285197489653014</v>
      </c>
      <c r="N210" s="17">
        <f>('Q1'!AI101-N$106)/N$107</f>
        <v>-1.0013300648457999</v>
      </c>
      <c r="O210" s="17">
        <f>('Q1'!AJ101-O$106)/O$107</f>
        <v>1.4555349266133999</v>
      </c>
      <c r="P210" s="17">
        <f>('Q1'!AK101-P$106)/P$107</f>
        <v>0.53629617975437394</v>
      </c>
      <c r="Q210" s="17">
        <f>('Q1'!AL101-Q$106)/Q$107</f>
        <v>0.12686035588417094</v>
      </c>
      <c r="R210" s="17">
        <f>('Q1'!AM101-R$106)/R$107</f>
        <v>-0.23696055395087873</v>
      </c>
      <c r="S210" s="17">
        <f>('Q1'!AN101-S$106)/S$107</f>
        <v>0.90988829775547742</v>
      </c>
    </row>
    <row r="211" spans="2:19">
      <c r="B211" s="17">
        <f>('Q1'!W102-B$106)/B$107</f>
        <v>-1.9252519786133817</v>
      </c>
      <c r="C211" s="17">
        <f>('Q1'!X102-C$106)/C$107</f>
        <v>-2.7928090962362648</v>
      </c>
      <c r="D211" s="17">
        <f>('Q1'!Y102-D$106)/D$107</f>
        <v>-2.5091781128020751</v>
      </c>
      <c r="E211" s="17">
        <f>('Q1'!Z102-E$106)/E$107</f>
        <v>-1.9532689463512853</v>
      </c>
      <c r="F211" s="17">
        <f>('Q1'!AA102-F$106)/F$107</f>
        <v>-2.4389402023965241</v>
      </c>
      <c r="G211" s="17">
        <f>('Q1'!AB102-G$106)/G$107</f>
        <v>-1.4746992995571615</v>
      </c>
      <c r="H211" s="17">
        <f>('Q1'!AC102-H$106)/H$107</f>
        <v>-1.5594395419644926</v>
      </c>
      <c r="I211" s="17">
        <f>('Q1'!AD102-I$106)/I$107</f>
        <v>-1.7109736905671482</v>
      </c>
      <c r="J211" s="17">
        <f>('Q1'!AE102-J$106)/J$107</f>
        <v>-1.033494674179662</v>
      </c>
      <c r="K211" s="17">
        <f>('Q1'!AF102-K$106)/K$107</f>
        <v>-1.4434717432728383</v>
      </c>
      <c r="L211" s="17">
        <f>('Q1'!AG102-L$106)/L$107</f>
        <v>-2.1945872602852106</v>
      </c>
      <c r="M211" s="17">
        <f>('Q1'!AH102-M$106)/M$107</f>
        <v>-1.1076707148347484</v>
      </c>
      <c r="N211" s="17">
        <f>('Q1'!AI102-N$106)/N$107</f>
        <v>-1.6844021032080072</v>
      </c>
      <c r="O211" s="17">
        <f>('Q1'!AJ102-O$106)/O$107</f>
        <v>-2.1768056261891342</v>
      </c>
      <c r="P211" s="17">
        <f>('Q1'!AK102-P$106)/P$107</f>
        <v>-1.2540785400684855</v>
      </c>
      <c r="Q211" s="17">
        <f>('Q1'!AL102-Q$106)/Q$107</f>
        <v>-0.96459205979000295</v>
      </c>
      <c r="R211" s="17">
        <f>('Q1'!AM102-R$106)/R$107</f>
        <v>-0.46157970583311192</v>
      </c>
      <c r="S211" s="17">
        <f>('Q1'!AN102-S$106)/S$107</f>
        <v>-1.2143754780690228</v>
      </c>
    </row>
    <row r="212" spans="2:19">
      <c r="B212" s="17">
        <f>('Q1'!W103-B$106)/B$107</f>
        <v>1.3684927637231714</v>
      </c>
      <c r="C212" s="17">
        <f>('Q1'!X103-C$106)/C$107</f>
        <v>3.5778179698375978</v>
      </c>
      <c r="D212" s="17">
        <f>('Q1'!Y103-D$106)/D$107</f>
        <v>2.0420445559616462</v>
      </c>
      <c r="E212" s="17">
        <f>('Q1'!Z103-E$106)/E$107</f>
        <v>0.96512366172803754</v>
      </c>
      <c r="F212" s="17">
        <f>('Q1'!AA103-F$106)/F$107</f>
        <v>1.7720147433030782</v>
      </c>
      <c r="G212" s="17">
        <f>('Q1'!AB103-G$106)/G$107</f>
        <v>-0.27332323522073448</v>
      </c>
      <c r="H212" s="17">
        <f>('Q1'!AC103-H$106)/H$107</f>
        <v>-0.46867694797893378</v>
      </c>
      <c r="I212" s="17">
        <f>('Q1'!AD103-I$106)/I$107</f>
        <v>1.3630651191797993</v>
      </c>
      <c r="J212" s="17">
        <f>('Q1'!AE103-J$106)/J$107</f>
        <v>-0.13644320988221401</v>
      </c>
      <c r="K212" s="17">
        <f>('Q1'!AF103-K$106)/K$107</f>
        <v>1.0673777610964461</v>
      </c>
      <c r="L212" s="17">
        <f>('Q1'!AG103-L$106)/L$107</f>
        <v>-0.28044505679787851</v>
      </c>
      <c r="M212" s="17">
        <f>('Q1'!AH103-M$106)/M$107</f>
        <v>-1.878083936887351</v>
      </c>
      <c r="N212" s="17">
        <f>('Q1'!AI103-N$106)/N$107</f>
        <v>3.1921112532934095</v>
      </c>
      <c r="O212" s="17">
        <f>('Q1'!AJ103-O$106)/O$107</f>
        <v>-0.51020708251074665</v>
      </c>
      <c r="P212" s="17">
        <f>('Q1'!AK103-P$106)/P$107</f>
        <v>-0.69163775916354364</v>
      </c>
      <c r="Q212" s="17">
        <f>('Q1'!AL103-Q$106)/Q$107</f>
        <v>0.15048171584471484</v>
      </c>
      <c r="R212" s="17">
        <f>('Q1'!AM103-R$106)/R$107</f>
        <v>-0.96092759959553464</v>
      </c>
      <c r="S212" s="17">
        <f>('Q1'!AN103-S$106)/S$107</f>
        <v>1.0127462305422785</v>
      </c>
    </row>
    <row r="213" spans="2:19">
      <c r="B213" s="17">
        <f>('Q1'!W104-B$106)/B$107</f>
        <v>-0.51921547487236264</v>
      </c>
      <c r="C213" s="17">
        <f>('Q1'!X104-C$106)/C$107</f>
        <v>-0.57716681275500981</v>
      </c>
      <c r="D213" s="17">
        <f>('Q1'!Y104-D$106)/D$107</f>
        <v>-0.62373055337174876</v>
      </c>
      <c r="E213" s="17">
        <f>('Q1'!Z104-E$106)/E$107</f>
        <v>0.2647651095057888</v>
      </c>
      <c r="F213" s="17">
        <f>('Q1'!AA104-F$106)/F$107</f>
        <v>-0.94824334762307305</v>
      </c>
      <c r="G213" s="17">
        <f>('Q1'!AB104-G$106)/G$107</f>
        <v>0.75896210228748362</v>
      </c>
      <c r="H213" s="17">
        <f>('Q1'!AC104-H$106)/H$107</f>
        <v>-0.11042331529255921</v>
      </c>
      <c r="I213" s="17">
        <f>('Q1'!AD104-I$106)/I$107</f>
        <v>1.2722095051942415</v>
      </c>
      <c r="J213" s="17">
        <f>('Q1'!AE104-J$106)/J$107</f>
        <v>0.80429897765121228</v>
      </c>
      <c r="K213" s="17">
        <f>('Q1'!AF104-K$106)/K$107</f>
        <v>0.32175668496143361</v>
      </c>
      <c r="L213" s="17">
        <f>('Q1'!AG104-L$106)/L$107</f>
        <v>0.69748631407723505</v>
      </c>
      <c r="M213" s="17">
        <f>('Q1'!AH104-M$106)/M$107</f>
        <v>0.25008847746511492</v>
      </c>
      <c r="N213" s="17">
        <f>('Q1'!AI104-N$106)/N$107</f>
        <v>-0.11783387062587815</v>
      </c>
      <c r="O213" s="17">
        <f>('Q1'!AJ104-O$106)/O$107</f>
        <v>-0.62599016937392182</v>
      </c>
      <c r="P213" s="17">
        <f>('Q1'!AK104-P$106)/P$107</f>
        <v>0.36882105340809962</v>
      </c>
      <c r="Q213" s="17">
        <f>('Q1'!AL104-Q$106)/Q$107</f>
        <v>0.28736059771458716</v>
      </c>
      <c r="R213" s="17">
        <f>('Q1'!AM104-R$106)/R$107</f>
        <v>0.61172294045538911</v>
      </c>
      <c r="S213" s="17">
        <f>('Q1'!AN104-S$106)/S$107</f>
        <v>-0.77455344830378692</v>
      </c>
    </row>
    <row r="214" spans="2:19">
      <c r="B214" s="17">
        <f>('Q1'!W105-B$106)/B$107</f>
        <v>-8.4497373251796348E-2</v>
      </c>
      <c r="C214" s="17">
        <f>('Q1'!X105-C$106)/C$107</f>
        <v>1.0298923866871119</v>
      </c>
      <c r="D214" s="17">
        <f>('Q1'!Y105-D$106)/D$107</f>
        <v>2.384884692272752</v>
      </c>
      <c r="E214" s="17">
        <f>('Q1'!Z105-E$106)/E$107</f>
        <v>0.6634568270115081</v>
      </c>
      <c r="F214" s="17">
        <f>('Q1'!AA105-F$106)/F$107</f>
        <v>-0.35123467562488597</v>
      </c>
      <c r="G214" s="17">
        <f>('Q1'!AB105-G$106)/G$107</f>
        <v>-1.1382217551446623</v>
      </c>
      <c r="H214" s="17">
        <f>('Q1'!AC105-H$106)/H$107</f>
        <v>-3.8148950674147151</v>
      </c>
      <c r="I214" s="17">
        <f>('Q1'!AD105-I$106)/I$107</f>
        <v>-0.17154995722580801</v>
      </c>
      <c r="J214" s="17">
        <f>('Q1'!AE105-J$106)/J$107</f>
        <v>-1.6529846568358275</v>
      </c>
      <c r="K214" s="17">
        <f>('Q1'!AF105-K$106)/K$107</f>
        <v>-0.38387758433047603</v>
      </c>
      <c r="L214" s="17">
        <f>('Q1'!AG105-L$106)/L$107</f>
        <v>-1.3059333778622899</v>
      </c>
      <c r="M214" s="17">
        <f>('Q1'!AH105-M$106)/M$107</f>
        <v>1.1298069140555378</v>
      </c>
      <c r="N214" s="17">
        <f>('Q1'!AI105-N$106)/N$107</f>
        <v>2.9368223865323038</v>
      </c>
      <c r="O214" s="17">
        <f>('Q1'!AJ105-O$106)/O$107</f>
        <v>0.53414083920816335</v>
      </c>
      <c r="P214" s="17">
        <f>('Q1'!AK105-P$106)/P$107</f>
        <v>-3.2133368751718105</v>
      </c>
      <c r="Q214" s="17">
        <f>('Q1'!AL105-Q$106)/Q$107</f>
        <v>-0.94933098522304038</v>
      </c>
      <c r="R214" s="17">
        <f>('Q1'!AM105-R$106)/R$107</f>
        <v>-0.37504101036538051</v>
      </c>
      <c r="S214" s="17">
        <f>('Q1'!AN105-S$106)/S$107</f>
        <v>-0.58836589229268432</v>
      </c>
    </row>
    <row r="215" spans="2:19">
      <c r="B215" s="17">
        <f>('Q1'!W106-B$106)/B$107</f>
        <v>-4.7069233267112711</v>
      </c>
      <c r="C215" s="17">
        <f>('Q1'!X106-C$106)/C$107</f>
        <v>-2.7698548311044973</v>
      </c>
      <c r="D215" s="17">
        <f>('Q1'!Y106-D$106)/D$107</f>
        <v>-1.5031289547416797</v>
      </c>
      <c r="E215" s="17">
        <f>('Q1'!Z106-E$106)/E$107</f>
        <v>-2.8977850441339457</v>
      </c>
      <c r="F215" s="17">
        <f>('Q1'!AA106-F$106)/F$107</f>
        <v>-2.5826460966974563</v>
      </c>
      <c r="G215" s="17">
        <f>('Q1'!AB106-G$106)/G$107</f>
        <v>-2.5098398461292275</v>
      </c>
      <c r="H215" s="17">
        <f>('Q1'!AC106-H$106)/H$107</f>
        <v>-2.8248924609356756</v>
      </c>
      <c r="I215" s="17">
        <f>('Q1'!AD106-I$106)/I$107</f>
        <v>-1.6039629510172377</v>
      </c>
      <c r="J215" s="17">
        <f>('Q1'!AE106-J$106)/J$107</f>
        <v>-2.6103589443958568</v>
      </c>
      <c r="K215" s="17">
        <f>('Q1'!AF106-K$106)/K$107</f>
        <v>-0.72185463449244713</v>
      </c>
      <c r="L215" s="17">
        <f>('Q1'!AG106-L$106)/L$107</f>
        <v>-2.5997696861448087</v>
      </c>
      <c r="M215" s="17">
        <f>('Q1'!AH106-M$106)/M$107</f>
        <v>-3.0558951677359407</v>
      </c>
      <c r="N215" s="17">
        <f>('Q1'!AI106-N$106)/N$107</f>
        <v>-1.2358234959580581</v>
      </c>
      <c r="O215" s="17">
        <f>('Q1'!AJ106-O$106)/O$107</f>
        <v>-3.5057344071971013</v>
      </c>
      <c r="P215" s="17">
        <f>('Q1'!AK106-P$106)/P$107</f>
        <v>-0.71605462182304047</v>
      </c>
      <c r="Q215" s="17">
        <f>('Q1'!AL106-Q$106)/Q$107</f>
        <v>-1.8382248112070083</v>
      </c>
      <c r="R215" s="17">
        <f>('Q1'!AM106-R$106)/R$107</f>
        <v>-2.1866461231693197</v>
      </c>
      <c r="S215" s="17">
        <f>('Q1'!AN106-S$106)/S$107</f>
        <v>-2.9471592651602965</v>
      </c>
    </row>
    <row r="216" spans="2:19">
      <c r="B216" s="17">
        <f>('Q1'!W107-B$106)/B$107</f>
        <v>0.33080576554224916</v>
      </c>
      <c r="C216" s="17">
        <f>('Q1'!X107-C$106)/C$107</f>
        <v>-3.0602521740472128</v>
      </c>
      <c r="D216" s="17">
        <f>('Q1'!Y107-D$106)/D$107</f>
        <v>-2.7974750435674061</v>
      </c>
      <c r="E216" s="17">
        <f>('Q1'!Z107-E$106)/E$107</f>
        <v>-3.3323505404811327</v>
      </c>
      <c r="F216" s="17">
        <f>('Q1'!AA107-F$106)/F$107</f>
        <v>-2.7417230688105176</v>
      </c>
      <c r="G216" s="17">
        <f>('Q1'!AB107-G$106)/G$107</f>
        <v>-3.1647437967818575</v>
      </c>
      <c r="H216" s="17">
        <f>('Q1'!AC107-H$106)/H$107</f>
        <v>-1.365006182788473</v>
      </c>
      <c r="I216" s="17">
        <f>('Q1'!AD107-I$106)/I$107</f>
        <v>-8.1409344790185884E-2</v>
      </c>
      <c r="J216" s="17">
        <f>('Q1'!AE107-J$106)/J$107</f>
        <v>-0.46303500875353504</v>
      </c>
      <c r="K216" s="17">
        <f>('Q1'!AF107-K$106)/K$107</f>
        <v>-1.2620008404887892</v>
      </c>
      <c r="L216" s="17">
        <f>('Q1'!AG107-L$106)/L$107</f>
        <v>-1.7596345477528883</v>
      </c>
      <c r="M216" s="17">
        <f>('Q1'!AH107-M$106)/M$107</f>
        <v>-2.5160505304668725</v>
      </c>
      <c r="N216" s="17">
        <f>('Q1'!AI107-N$106)/N$107</f>
        <v>-1.9449649854287938</v>
      </c>
      <c r="O216" s="17">
        <f>('Q1'!AJ107-O$106)/O$107</f>
        <v>-3.714498595831734</v>
      </c>
      <c r="P216" s="17">
        <f>('Q1'!AK107-P$106)/P$107</f>
        <v>-1.4871581963597318</v>
      </c>
      <c r="Q216" s="17">
        <f>('Q1'!AL107-Q$106)/Q$107</f>
        <v>-2.1565581436716563</v>
      </c>
      <c r="R216" s="17">
        <f>('Q1'!AM107-R$106)/R$107</f>
        <v>-1.3278630884040945</v>
      </c>
      <c r="S216" s="17">
        <f>('Q1'!AN107-S$106)/S$107</f>
        <v>-1.7958370732900857</v>
      </c>
    </row>
    <row r="217" spans="2:19">
      <c r="B217" s="17">
        <f>('Q1'!W108-B$106)/B$107</f>
        <v>-1.1242018143800148</v>
      </c>
      <c r="C217" s="17">
        <f>('Q1'!X108-C$106)/C$107</f>
        <v>-1.3020590568740478</v>
      </c>
      <c r="D217" s="17">
        <f>('Q1'!Y108-D$106)/D$107</f>
        <v>-0.17654861142060171</v>
      </c>
      <c r="E217" s="17">
        <f>('Q1'!Z108-E$106)/E$107</f>
        <v>-1.6616552089271481</v>
      </c>
      <c r="F217" s="17">
        <f>('Q1'!AA108-F$106)/F$107</f>
        <v>-1.7104153470078554</v>
      </c>
      <c r="G217" s="17">
        <f>('Q1'!AB108-G$106)/G$107</f>
        <v>3.0051838290622874</v>
      </c>
      <c r="H217" s="17">
        <f>('Q1'!AC108-H$106)/H$107</f>
        <v>1.045519799906744</v>
      </c>
      <c r="I217" s="17">
        <f>('Q1'!AD108-I$106)/I$107</f>
        <v>-0.92307353546904891</v>
      </c>
      <c r="J217" s="17">
        <f>('Q1'!AE108-J$106)/J$107</f>
        <v>0.7409671446143492</v>
      </c>
      <c r="K217" s="17">
        <f>('Q1'!AF108-K$106)/K$107</f>
        <v>1.5347710396852094</v>
      </c>
      <c r="L217" s="17">
        <f>('Q1'!AG108-L$106)/L$107</f>
        <v>-2.3823030015376245</v>
      </c>
      <c r="M217" s="17">
        <f>('Q1'!AH108-M$106)/M$107</f>
        <v>-0.26218361445011429</v>
      </c>
      <c r="N217" s="17">
        <f>('Q1'!AI108-N$106)/N$107</f>
        <v>0.24870361247277925</v>
      </c>
      <c r="O217" s="17">
        <f>('Q1'!AJ108-O$106)/O$107</f>
        <v>9.4253765090291819E-2</v>
      </c>
      <c r="P217" s="17">
        <f>('Q1'!AK108-P$106)/P$107</f>
        <v>-0.94742410982500735</v>
      </c>
      <c r="Q217" s="17">
        <f>('Q1'!AL108-Q$106)/Q$107</f>
        <v>1.4006154740274033</v>
      </c>
      <c r="R217" s="17">
        <f>('Q1'!AM108-R$106)/R$107</f>
        <v>-0.54934186120534323</v>
      </c>
      <c r="S217" s="17">
        <f>('Q1'!AN108-S$106)/S$107</f>
        <v>0.42067363595903345</v>
      </c>
    </row>
    <row r="218" spans="2:19">
      <c r="B218" s="17">
        <f>('Q1'!W109-B$106)/B$107</f>
        <v>-3.4907466766439947</v>
      </c>
      <c r="C218" s="17">
        <f>('Q1'!X109-C$106)/C$107</f>
        <v>-4.8203240530418654</v>
      </c>
      <c r="D218" s="17">
        <f>('Q1'!Y109-D$106)/D$107</f>
        <v>-2.3776543709194784</v>
      </c>
      <c r="E218" s="17">
        <f>('Q1'!Z109-E$106)/E$107</f>
        <v>-4.0702305043668998</v>
      </c>
      <c r="F218" s="17">
        <f>('Q1'!AA109-F$106)/F$107</f>
        <v>0.38871112778929701</v>
      </c>
      <c r="G218" s="17">
        <f>('Q1'!AB109-G$106)/G$107</f>
        <v>-1.0263055484607451</v>
      </c>
      <c r="H218" s="17">
        <f>('Q1'!AC109-H$106)/H$107</f>
        <v>-1.2375479404677798</v>
      </c>
      <c r="I218" s="17">
        <f>('Q1'!AD109-I$106)/I$107</f>
        <v>-2.4803150733272585</v>
      </c>
      <c r="J218" s="17">
        <f>('Q1'!AE109-J$106)/J$107</f>
        <v>-0.98953213780502391</v>
      </c>
      <c r="K218" s="17">
        <f>('Q1'!AF109-K$106)/K$107</f>
        <v>-2.9881736260713123</v>
      </c>
      <c r="L218" s="17">
        <f>('Q1'!AG109-L$106)/L$107</f>
        <v>-1.2062257221415922</v>
      </c>
      <c r="M218" s="17">
        <f>('Q1'!AH109-M$106)/M$107</f>
        <v>-3.2725335161167748</v>
      </c>
      <c r="N218" s="17">
        <f>('Q1'!AI109-N$106)/N$107</f>
        <v>-4.444912785194437</v>
      </c>
      <c r="O218" s="17">
        <f>('Q1'!AJ109-O$106)/O$107</f>
        <v>-1.6252433695211439</v>
      </c>
      <c r="P218" s="17">
        <f>('Q1'!AK109-P$106)/P$107</f>
        <v>0.27334792713271855</v>
      </c>
      <c r="Q218" s="17">
        <f>('Q1'!AL109-Q$106)/Q$107</f>
        <v>0.97917854371166346</v>
      </c>
      <c r="R218" s="17">
        <f>('Q1'!AM109-R$106)/R$107</f>
        <v>-1.6505850342507939</v>
      </c>
      <c r="S218" s="17">
        <f>('Q1'!AN109-S$106)/S$107</f>
        <v>1.1416189623391291</v>
      </c>
    </row>
    <row r="219" spans="2:19">
      <c r="B219" s="17">
        <f>('Q1'!W110-B$106)/B$107</f>
        <v>-0.88575878589468182</v>
      </c>
      <c r="C219" s="17">
        <f>('Q1'!X110-C$106)/C$107</f>
        <v>-3.7124646105400192</v>
      </c>
      <c r="D219" s="17">
        <f>('Q1'!Y110-D$106)/D$107</f>
        <v>-1.2279538562761085</v>
      </c>
      <c r="E219" s="17">
        <f>('Q1'!Z110-E$106)/E$107</f>
        <v>-4.9767917539000921</v>
      </c>
      <c r="F219" s="17">
        <f>('Q1'!AA110-F$106)/F$107</f>
        <v>-2.598139306766897</v>
      </c>
      <c r="G219" s="17">
        <f>('Q1'!AB110-G$106)/G$107</f>
        <v>-1.0154924866666839</v>
      </c>
      <c r="H219" s="17">
        <f>('Q1'!AC110-H$106)/H$107</f>
        <v>-2.7211823429251396</v>
      </c>
      <c r="I219" s="17">
        <f>('Q1'!AD110-I$106)/I$107</f>
        <v>-2.3137292350909835</v>
      </c>
      <c r="J219" s="17">
        <f>('Q1'!AE110-J$106)/J$107</f>
        <v>-1.8240178006436092</v>
      </c>
      <c r="K219" s="17">
        <f>('Q1'!AF110-K$106)/K$107</f>
        <v>-2.6404353466429105</v>
      </c>
      <c r="L219" s="17">
        <f>('Q1'!AG110-L$106)/L$107</f>
        <v>-3.1441344165616356</v>
      </c>
      <c r="M219" s="17">
        <f>('Q1'!AH110-M$106)/M$107</f>
        <v>-1.7493980579530815</v>
      </c>
      <c r="N219" s="17">
        <f>('Q1'!AI110-N$106)/N$107</f>
        <v>-4.4557823629886286</v>
      </c>
      <c r="O219" s="17">
        <f>('Q1'!AJ110-O$106)/O$107</f>
        <v>-1.29757505066929</v>
      </c>
      <c r="P219" s="17">
        <f>('Q1'!AK110-P$106)/P$107</f>
        <v>-0.3153794853878738</v>
      </c>
      <c r="Q219" s="17">
        <f>('Q1'!AL110-Q$106)/Q$107</f>
        <v>0.62311482791084039</v>
      </c>
      <c r="R219" s="17">
        <f>('Q1'!AM110-R$106)/R$107</f>
        <v>-0.84230703683634511</v>
      </c>
      <c r="S219" s="17">
        <f>('Q1'!AN110-S$106)/S$107</f>
        <v>-3.7979360646584991E-2</v>
      </c>
    </row>
    <row r="220" spans="2:19">
      <c r="B220" s="17">
        <f>('Q1'!W111-B$106)/B$107</f>
        <v>5.2962095746040108</v>
      </c>
      <c r="C220" s="17">
        <f>('Q1'!X111-C$106)/C$107</f>
        <v>6.4874549181417986</v>
      </c>
      <c r="D220" s="17">
        <f>('Q1'!Y111-D$106)/D$107</f>
        <v>1.7950548889439817</v>
      </c>
      <c r="E220" s="17">
        <f>('Q1'!Z111-E$106)/E$107</f>
        <v>5.8751977133060542</v>
      </c>
      <c r="F220" s="17">
        <f>('Q1'!AA111-F$106)/F$107</f>
        <v>2.7441221250663088</v>
      </c>
      <c r="G220" s="17">
        <f>('Q1'!AB111-G$106)/G$107</f>
        <v>0.94628510047429149</v>
      </c>
      <c r="H220" s="17">
        <f>('Q1'!AC111-H$106)/H$107</f>
        <v>2.2000789565337384</v>
      </c>
      <c r="I220" s="17">
        <f>('Q1'!AD111-I$106)/I$107</f>
        <v>-0.59041450597454759</v>
      </c>
      <c r="J220" s="17">
        <f>('Q1'!AE111-J$106)/J$107</f>
        <v>0.92482885197136755</v>
      </c>
      <c r="K220" s="17">
        <f>('Q1'!AF111-K$106)/K$107</f>
        <v>2.0840138866846178</v>
      </c>
      <c r="L220" s="17">
        <f>('Q1'!AG111-L$106)/L$107</f>
        <v>1.3245371105115369</v>
      </c>
      <c r="M220" s="17">
        <f>('Q1'!AH111-M$106)/M$107</f>
        <v>0.87408012547143576</v>
      </c>
      <c r="N220" s="17">
        <f>('Q1'!AI111-N$106)/N$107</f>
        <v>2.2797672692402253</v>
      </c>
      <c r="O220" s="17">
        <f>('Q1'!AJ111-O$106)/O$107</f>
        <v>2.4614235297804097</v>
      </c>
      <c r="P220" s="17">
        <f>('Q1'!AK111-P$106)/P$107</f>
        <v>1.3677395302809143</v>
      </c>
      <c r="Q220" s="17">
        <f>('Q1'!AL111-Q$106)/Q$107</f>
        <v>0.87340959118583927</v>
      </c>
      <c r="R220" s="17">
        <f>('Q1'!AM111-R$106)/R$107</f>
        <v>1.6619590727915374</v>
      </c>
      <c r="S220" s="17">
        <f>('Q1'!AN111-S$106)/S$107</f>
        <v>0.71814987517803153</v>
      </c>
    </row>
    <row r="221" spans="2:19">
      <c r="B221" s="17">
        <f>('Q1'!W112-B$106)/B$107</f>
        <v>7.1817881079524453</v>
      </c>
      <c r="C221" s="17">
        <f>('Q1'!X112-C$106)/C$107</f>
        <v>2.7417565278720737</v>
      </c>
      <c r="D221" s="17">
        <f>('Q1'!Y112-D$106)/D$107</f>
        <v>2.7175075922155068</v>
      </c>
      <c r="E221" s="17">
        <f>('Q1'!Z112-E$106)/E$107</f>
        <v>1.7416014164922067</v>
      </c>
      <c r="F221" s="17">
        <f>('Q1'!AA112-F$106)/F$107</f>
        <v>3.5809809743152128</v>
      </c>
      <c r="G221" s="17">
        <f>('Q1'!AB112-G$106)/G$107</f>
        <v>4.1961657792721363</v>
      </c>
      <c r="H221" s="17">
        <f>('Q1'!AC112-H$106)/H$107</f>
        <v>3.0446440147698839</v>
      </c>
      <c r="I221" s="17">
        <f>('Q1'!AD112-I$106)/I$107</f>
        <v>0.83359793560407014</v>
      </c>
      <c r="J221" s="17">
        <f>('Q1'!AE112-J$106)/J$107</f>
        <v>3.6907719270036199</v>
      </c>
      <c r="K221" s="17">
        <f>('Q1'!AF112-K$106)/K$107</f>
        <v>-0.38313193619641001</v>
      </c>
      <c r="L221" s="17">
        <f>('Q1'!AG112-L$106)/L$107</f>
        <v>9.3077438749127754</v>
      </c>
      <c r="M221" s="17">
        <f>('Q1'!AH112-M$106)/M$107</f>
        <v>1.8284355984044818</v>
      </c>
      <c r="N221" s="17">
        <f>('Q1'!AI112-N$106)/N$107</f>
        <v>4.7676006227701766</v>
      </c>
      <c r="O221" s="17">
        <f>('Q1'!AJ112-O$106)/O$107</f>
        <v>1.8954947848247286</v>
      </c>
      <c r="P221" s="17">
        <f>('Q1'!AK112-P$106)/P$107</f>
        <v>1.5484991043399086</v>
      </c>
      <c r="Q221" s="17">
        <f>('Q1'!AL112-Q$106)/Q$107</f>
        <v>0.58331071769454113</v>
      </c>
      <c r="R221" s="17">
        <f>('Q1'!AM112-R$106)/R$107</f>
        <v>1.1335275890452678</v>
      </c>
      <c r="S221" s="17">
        <f>('Q1'!AN112-S$106)/S$107</f>
        <v>0.81118917723296913</v>
      </c>
    </row>
    <row r="222" spans="2:19">
      <c r="B222" s="17">
        <f>('Q1'!W113-B$106)/B$107</f>
        <v>1.6242550886981622</v>
      </c>
      <c r="C222" s="17">
        <f>('Q1'!X113-C$106)/C$107</f>
        <v>2.2804005996253904</v>
      </c>
      <c r="D222" s="17">
        <f>('Q1'!Y113-D$106)/D$107</f>
        <v>1.2876546049625266</v>
      </c>
      <c r="E222" s="17">
        <f>('Q1'!Z113-E$106)/E$107</f>
        <v>1.8630693007977606</v>
      </c>
      <c r="F222" s="17">
        <f>('Q1'!AA113-F$106)/F$107</f>
        <v>3.18150454643644</v>
      </c>
      <c r="G222" s="17">
        <f>('Q1'!AB113-G$106)/G$107</f>
        <v>-1.2145824512930063</v>
      </c>
      <c r="H222" s="17">
        <f>('Q1'!AC113-H$106)/H$107</f>
        <v>0.47027696906935923</v>
      </c>
      <c r="I222" s="17">
        <f>('Q1'!AD113-I$106)/I$107</f>
        <v>1.0253306518307304</v>
      </c>
      <c r="J222" s="17">
        <f>('Q1'!AE113-J$106)/J$107</f>
        <v>-0.84492214777643448</v>
      </c>
      <c r="K222" s="17">
        <f>('Q1'!AF113-K$106)/K$107</f>
        <v>2.195804478336898</v>
      </c>
      <c r="L222" s="17">
        <f>('Q1'!AG113-L$106)/L$107</f>
        <v>-0.13504911374486392</v>
      </c>
      <c r="M222" s="17">
        <f>('Q1'!AH113-M$106)/M$107</f>
        <v>2.191910382269691</v>
      </c>
      <c r="N222" s="17">
        <f>('Q1'!AI113-N$106)/N$107</f>
        <v>3.1901371683538602</v>
      </c>
      <c r="O222" s="17">
        <f>('Q1'!AJ113-O$106)/O$107</f>
        <v>4.3847904544730323</v>
      </c>
      <c r="P222" s="17">
        <f>('Q1'!AK113-P$106)/P$107</f>
        <v>0.48412738006911465</v>
      </c>
      <c r="Q222" s="17">
        <f>('Q1'!AL113-Q$106)/Q$107</f>
        <v>-0.41612728266212534</v>
      </c>
      <c r="R222" s="17">
        <f>('Q1'!AM113-R$106)/R$107</f>
        <v>0.23827575618073488</v>
      </c>
      <c r="S222" s="17">
        <f>('Q1'!AN113-S$106)/S$107</f>
        <v>0.31789202693847141</v>
      </c>
    </row>
    <row r="223" spans="2:19">
      <c r="B223" s="17">
        <f>('Q1'!W114-B$106)/B$107</f>
        <v>-0.43641380111307748</v>
      </c>
      <c r="C223" s="17">
        <f>('Q1'!X114-C$106)/C$107</f>
        <v>1.4582046926550616</v>
      </c>
      <c r="D223" s="17">
        <f>('Q1'!Y114-D$106)/D$107</f>
        <v>-1.0189919128817793</v>
      </c>
      <c r="E223" s="17">
        <f>('Q1'!Z114-E$106)/E$107</f>
        <v>-1.7563456960756481</v>
      </c>
      <c r="F223" s="17">
        <f>('Q1'!AA114-F$106)/F$107</f>
        <v>0.55998798819816187</v>
      </c>
      <c r="G223" s="17">
        <f>('Q1'!AB114-G$106)/G$107</f>
        <v>-2.0991753157245489E-2</v>
      </c>
      <c r="H223" s="17">
        <f>('Q1'!AC114-H$106)/H$107</f>
        <v>-1.1669462926490564</v>
      </c>
      <c r="I223" s="17">
        <f>('Q1'!AD114-I$106)/I$107</f>
        <v>-0.46738427036119523</v>
      </c>
      <c r="J223" s="17">
        <f>('Q1'!AE114-J$106)/J$107</f>
        <v>-0.73637987342076716</v>
      </c>
      <c r="K223" s="17">
        <f>('Q1'!AF114-K$106)/K$107</f>
        <v>-8.9469112073201365E-2</v>
      </c>
      <c r="L223" s="17">
        <f>('Q1'!AG114-L$106)/L$107</f>
        <v>-0.83680904194599048</v>
      </c>
      <c r="M223" s="17">
        <f>('Q1'!AH114-M$106)/M$107</f>
        <v>-1.7109323214479815</v>
      </c>
      <c r="N223" s="17">
        <f>('Q1'!AI114-N$106)/N$107</f>
        <v>-0.6794327415094259</v>
      </c>
      <c r="O223" s="17">
        <f>('Q1'!AJ114-O$106)/O$107</f>
        <v>7.5245951811046999E-2</v>
      </c>
      <c r="P223" s="17">
        <f>('Q1'!AK114-P$106)/P$107</f>
        <v>0.20769974577397304</v>
      </c>
      <c r="Q223" s="17">
        <f>('Q1'!AL114-Q$106)/Q$107</f>
        <v>0.39797846853490065</v>
      </c>
      <c r="R223" s="17">
        <f>('Q1'!AM114-R$106)/R$107</f>
        <v>1.6598602428295801</v>
      </c>
      <c r="S223" s="17">
        <f>('Q1'!AN114-S$106)/S$107</f>
        <v>-0.26759294212908685</v>
      </c>
    </row>
    <row r="224" spans="2:19">
      <c r="B224" s="17">
        <f>('Q1'!W115-B$106)/B$107</f>
        <v>0.86752192617485069</v>
      </c>
      <c r="C224" s="17">
        <f>('Q1'!X115-C$106)/C$107</f>
        <v>1.0070806259493132</v>
      </c>
      <c r="D224" s="17">
        <f>('Q1'!Y115-D$106)/D$107</f>
        <v>1.4399581080003456</v>
      </c>
      <c r="E224" s="17">
        <f>('Q1'!Z115-E$106)/E$107</f>
        <v>0.55432228575880227</v>
      </c>
      <c r="F224" s="17">
        <f>('Q1'!AA115-F$106)/F$107</f>
        <v>2.5107400504469806</v>
      </c>
      <c r="G224" s="17">
        <f>('Q1'!AB115-G$106)/G$107</f>
        <v>1.3880665565746473</v>
      </c>
      <c r="H224" s="17">
        <f>('Q1'!AC115-H$106)/H$107</f>
        <v>1.0621210577008746</v>
      </c>
      <c r="I224" s="17">
        <f>('Q1'!AD115-I$106)/I$107</f>
        <v>1.5502128861892088</v>
      </c>
      <c r="J224" s="17">
        <f>('Q1'!AE115-J$106)/J$107</f>
        <v>2.2155696998444472</v>
      </c>
      <c r="K224" s="17">
        <f>('Q1'!AF115-K$106)/K$107</f>
        <v>0.95683920260410416</v>
      </c>
      <c r="L224" s="17">
        <f>('Q1'!AG115-L$106)/L$107</f>
        <v>2.4114579584620484</v>
      </c>
      <c r="M224" s="17">
        <f>('Q1'!AH115-M$106)/M$107</f>
        <v>4.1989863062974724</v>
      </c>
      <c r="N224" s="17">
        <f>('Q1'!AI115-N$106)/N$107</f>
        <v>-1.8436167950645146E-2</v>
      </c>
      <c r="O224" s="17">
        <f>('Q1'!AJ115-O$106)/O$107</f>
        <v>1.8083538028983499</v>
      </c>
      <c r="P224" s="17">
        <f>('Q1'!AK115-P$106)/P$107</f>
        <v>1.0976726962020737</v>
      </c>
      <c r="Q224" s="17">
        <f>('Q1'!AL115-Q$106)/Q$107</f>
        <v>2.5806314141511102E-2</v>
      </c>
      <c r="R224" s="17">
        <f>('Q1'!AM115-R$106)/R$107</f>
        <v>-0.28066419294893014</v>
      </c>
      <c r="S224" s="17">
        <f>('Q1'!AN115-S$106)/S$107</f>
        <v>1.7030621947417681</v>
      </c>
    </row>
    <row r="225" spans="2:19">
      <c r="B225" s="17">
        <f>('Q1'!W116-B$106)/B$107</f>
        <v>1.490955149690431</v>
      </c>
      <c r="C225" s="17">
        <f>('Q1'!X116-C$106)/C$107</f>
        <v>1.6218157370291473</v>
      </c>
      <c r="D225" s="17">
        <f>('Q1'!Y116-D$106)/D$107</f>
        <v>1.3574965746173788</v>
      </c>
      <c r="E225" s="17">
        <f>('Q1'!Z116-E$106)/E$107</f>
        <v>4.9354767136387618</v>
      </c>
      <c r="F225" s="17">
        <f>('Q1'!AA116-F$106)/F$107</f>
        <v>-0.70444725041849487</v>
      </c>
      <c r="G225" s="17">
        <f>('Q1'!AB116-G$106)/G$107</f>
        <v>0.82826390709239017</v>
      </c>
      <c r="H225" s="17">
        <f>('Q1'!AC116-H$106)/H$107</f>
        <v>-0.22048531680311817</v>
      </c>
      <c r="I225" s="17">
        <f>('Q1'!AD116-I$106)/I$107</f>
        <v>-0.49213994685081569</v>
      </c>
      <c r="J225" s="17">
        <f>('Q1'!AE116-J$106)/J$107</f>
        <v>0.11058015542509925</v>
      </c>
      <c r="K225" s="17">
        <f>('Q1'!AF116-K$106)/K$107</f>
        <v>0.73107084544636158</v>
      </c>
      <c r="L225" s="17">
        <f>('Q1'!AG116-L$106)/L$107</f>
        <v>2.0296366444312963</v>
      </c>
      <c r="M225" s="17">
        <f>('Q1'!AH116-M$106)/M$107</f>
        <v>-0.39529185018692525</v>
      </c>
      <c r="N225" s="17">
        <f>('Q1'!AI116-N$106)/N$107</f>
        <v>1.3905177557275838</v>
      </c>
      <c r="O225" s="17">
        <f>('Q1'!AJ116-O$106)/O$107</f>
        <v>0.93134610619596558</v>
      </c>
      <c r="P225" s="17">
        <f>('Q1'!AK116-P$106)/P$107</f>
        <v>3.3663894158544365E-2</v>
      </c>
      <c r="Q225" s="17">
        <f>('Q1'!AL116-Q$106)/Q$107</f>
        <v>-0.5871033969675743</v>
      </c>
      <c r="R225" s="17">
        <f>('Q1'!AM116-R$106)/R$107</f>
        <v>0.44963817353084873</v>
      </c>
      <c r="S225" s="17">
        <f>('Q1'!AN116-S$106)/S$107</f>
        <v>-8.1490717678720223E-2</v>
      </c>
    </row>
    <row r="226" spans="2:19">
      <c r="B226" s="17">
        <f>('Q1'!W117-B$106)/B$107</f>
        <v>-0.33533250438530721</v>
      </c>
      <c r="C226" s="17">
        <f>('Q1'!X117-C$106)/C$107</f>
        <v>-0.43764877689388398</v>
      </c>
      <c r="D226" s="17">
        <f>('Q1'!Y117-D$106)/D$107</f>
        <v>-3.058737939473645E-2</v>
      </c>
      <c r="E226" s="17">
        <f>('Q1'!Z117-E$106)/E$107</f>
        <v>-0.29913701039456464</v>
      </c>
      <c r="F226" s="17">
        <f>('Q1'!AA117-F$106)/F$107</f>
        <v>0.73789238995293283</v>
      </c>
      <c r="G226" s="17">
        <f>('Q1'!AB117-G$106)/G$107</f>
        <v>1.3175278542194218</v>
      </c>
      <c r="H226" s="17">
        <f>('Q1'!AC117-H$106)/H$107</f>
        <v>-0.37133103759777442</v>
      </c>
      <c r="I226" s="17">
        <f>('Q1'!AD117-I$106)/I$107</f>
        <v>1.2373732213586257</v>
      </c>
      <c r="J226" s="17">
        <f>('Q1'!AE117-J$106)/J$107</f>
        <v>0.38971748798756051</v>
      </c>
      <c r="K226" s="17">
        <f>('Q1'!AF117-K$106)/K$107</f>
        <v>-5.1413352411467793E-2</v>
      </c>
      <c r="L226" s="17">
        <f>('Q1'!AG117-L$106)/L$107</f>
        <v>-9.2374015367150272E-2</v>
      </c>
      <c r="M226" s="17">
        <f>('Q1'!AH117-M$106)/M$107</f>
        <v>0.60108340559192208</v>
      </c>
      <c r="N226" s="17">
        <f>('Q1'!AI117-N$106)/N$107</f>
        <v>0.19461852436497248</v>
      </c>
      <c r="O226" s="17">
        <f>('Q1'!AJ117-O$106)/O$107</f>
        <v>0.50294438083852022</v>
      </c>
      <c r="P226" s="17">
        <f>('Q1'!AK117-P$106)/P$107</f>
        <v>0.68835519390583655</v>
      </c>
      <c r="Q226" s="17">
        <f>('Q1'!AL117-Q$106)/Q$107</f>
        <v>1.0015356464233027</v>
      </c>
      <c r="R226" s="17">
        <f>('Q1'!AM117-R$106)/R$107</f>
        <v>0.46497179378194442</v>
      </c>
      <c r="S226" s="17">
        <f>('Q1'!AN117-S$106)/S$107</f>
        <v>0.15379150447874138</v>
      </c>
    </row>
    <row r="227" spans="2:19">
      <c r="B227" s="17">
        <f>('Q1'!W118-B$106)/B$107</f>
        <v>-1.0176835921066474</v>
      </c>
      <c r="C227" s="17">
        <f>('Q1'!X118-C$106)/C$107</f>
        <v>-1.3404147728510791</v>
      </c>
      <c r="D227" s="17">
        <f>('Q1'!Y118-D$106)/D$107</f>
        <v>-0.67934980824774271</v>
      </c>
      <c r="E227" s="17">
        <f>('Q1'!Z118-E$106)/E$107</f>
        <v>-1.3555248837246947</v>
      </c>
      <c r="F227" s="17">
        <f>('Q1'!AA118-F$106)/F$107</f>
        <v>-1.3657971534296436</v>
      </c>
      <c r="G227" s="17">
        <f>('Q1'!AB118-G$106)/G$107</f>
        <v>-0.35826421935159336</v>
      </c>
      <c r="H227" s="17">
        <f>('Q1'!AC118-H$106)/H$107</f>
        <v>0.6469771226407528</v>
      </c>
      <c r="I227" s="17">
        <f>('Q1'!AD118-I$106)/I$107</f>
        <v>-0.12177575201804733</v>
      </c>
      <c r="J227" s="17">
        <f>('Q1'!AE118-J$106)/J$107</f>
        <v>0.69006837091405293</v>
      </c>
      <c r="K227" s="17">
        <f>('Q1'!AF118-K$106)/K$107</f>
        <v>0.41159218674066267</v>
      </c>
      <c r="L227" s="17">
        <f>('Q1'!AG118-L$106)/L$107</f>
        <v>0.24944720474230397</v>
      </c>
      <c r="M227" s="17">
        <f>('Q1'!AH118-M$106)/M$107</f>
        <v>-0.25025717352272259</v>
      </c>
      <c r="N227" s="17">
        <f>('Q1'!AI118-N$106)/N$107</f>
        <v>-0.40021362564711382</v>
      </c>
      <c r="O227" s="17">
        <f>('Q1'!AJ118-O$106)/O$107</f>
        <v>-1.7938134642795209</v>
      </c>
      <c r="P227" s="17">
        <f>('Q1'!AK118-P$106)/P$107</f>
        <v>-7.9421018121883499E-2</v>
      </c>
      <c r="Q227" s="17">
        <f>('Q1'!AL118-Q$106)/Q$107</f>
        <v>1.9609368934151727</v>
      </c>
      <c r="R227" s="17">
        <f>('Q1'!AM118-R$106)/R$107</f>
        <v>0.82506050143743848</v>
      </c>
      <c r="S227" s="17">
        <f>('Q1'!AN118-S$106)/S$107</f>
        <v>2.0589592796788701E-2</v>
      </c>
    </row>
    <row r="228" spans="2:19">
      <c r="B228" s="17">
        <f>('Q1'!W119-B$106)/B$107</f>
        <v>-0.52605801500380633</v>
      </c>
      <c r="C228" s="17">
        <f>('Q1'!X119-C$106)/C$107</f>
        <v>0.69615720555727389</v>
      </c>
      <c r="D228" s="17">
        <f>('Q1'!Y119-D$106)/D$107</f>
        <v>8.9401274810225043E-2</v>
      </c>
      <c r="E228" s="17">
        <f>('Q1'!Z119-E$106)/E$107</f>
        <v>1.7795009691518079E-2</v>
      </c>
      <c r="F228" s="17">
        <f>('Q1'!AA119-F$106)/F$107</f>
        <v>1.2905873576199776</v>
      </c>
      <c r="G228" s="17">
        <f>('Q1'!AB119-G$106)/G$107</f>
        <v>-0.63368190794517776</v>
      </c>
      <c r="H228" s="17">
        <f>('Q1'!AC119-H$106)/H$107</f>
        <v>1.9450706397761868</v>
      </c>
      <c r="I228" s="17">
        <f>('Q1'!AD119-I$106)/I$107</f>
        <v>1.489136823378737</v>
      </c>
      <c r="J228" s="17">
        <f>('Q1'!AE119-J$106)/J$107</f>
        <v>0.75495855637504827</v>
      </c>
      <c r="K228" s="17">
        <f>('Q1'!AF119-K$106)/K$107</f>
        <v>1.0384871348849578</v>
      </c>
      <c r="L228" s="17">
        <f>('Q1'!AG119-L$106)/L$107</f>
        <v>2.1055045785567699</v>
      </c>
      <c r="M228" s="17">
        <f>('Q1'!AH119-M$106)/M$107</f>
        <v>0.52096063137037785</v>
      </c>
      <c r="N228" s="17">
        <f>('Q1'!AI119-N$106)/N$107</f>
        <v>0.10998172329230586</v>
      </c>
      <c r="O228" s="17">
        <f>('Q1'!AJ119-O$106)/O$107</f>
        <v>1.4731691420883859</v>
      </c>
      <c r="P228" s="17">
        <f>('Q1'!AK119-P$106)/P$107</f>
        <v>0.31427770374705644</v>
      </c>
      <c r="Q228" s="17">
        <f>('Q1'!AL119-Q$106)/Q$107</f>
        <v>0.95487319343725596</v>
      </c>
      <c r="R228" s="17">
        <f>('Q1'!AM119-R$106)/R$107</f>
        <v>0.60600792407267878</v>
      </c>
      <c r="S228" s="17">
        <f>('Q1'!AN119-S$106)/S$107</f>
        <v>0.56599493417272417</v>
      </c>
    </row>
    <row r="229" spans="2:19">
      <c r="B229" s="17">
        <f>('Q1'!W120-B$106)/B$107</f>
        <v>-0.92950753078436232</v>
      </c>
      <c r="C229" s="17">
        <f>('Q1'!X120-C$106)/C$107</f>
        <v>-0.54408096468627531</v>
      </c>
      <c r="D229" s="17">
        <f>('Q1'!Y120-D$106)/D$107</f>
        <v>-0.35555180003699466</v>
      </c>
      <c r="E229" s="17">
        <f>('Q1'!Z120-E$106)/E$107</f>
        <v>-1.696504403012403</v>
      </c>
      <c r="F229" s="17">
        <f>('Q1'!AA120-F$106)/F$107</f>
        <v>0.57208013673220792</v>
      </c>
      <c r="G229" s="17">
        <f>('Q1'!AB120-G$106)/G$107</f>
        <v>0.14076797350855155</v>
      </c>
      <c r="H229" s="17">
        <f>('Q1'!AC120-H$106)/H$107</f>
        <v>-4.963111985405453E-2</v>
      </c>
      <c r="I229" s="17">
        <f>('Q1'!AD120-I$106)/I$107</f>
        <v>-0.69211734195339492</v>
      </c>
      <c r="J229" s="17">
        <f>('Q1'!AE120-J$106)/J$107</f>
        <v>0.59729504048685367</v>
      </c>
      <c r="K229" s="17">
        <f>('Q1'!AF120-K$106)/K$107</f>
        <v>0.10872059485862785</v>
      </c>
      <c r="L229" s="17">
        <f>('Q1'!AG120-L$106)/L$107</f>
        <v>-0.46575786884906262</v>
      </c>
      <c r="M229" s="17">
        <f>('Q1'!AH120-M$106)/M$107</f>
        <v>4.5589047205272424</v>
      </c>
      <c r="N229" s="17">
        <f>('Q1'!AI120-N$106)/N$107</f>
        <v>-0.54836618805431814</v>
      </c>
      <c r="O229" s="17">
        <f>('Q1'!AJ120-O$106)/O$107</f>
        <v>-0.229319867129847</v>
      </c>
      <c r="P229" s="17">
        <f>('Q1'!AK120-P$106)/P$107</f>
        <v>0.25633807941901654</v>
      </c>
      <c r="Q229" s="17">
        <f>('Q1'!AL120-Q$106)/Q$107</f>
        <v>-0.25042156527893</v>
      </c>
      <c r="R229" s="17">
        <f>('Q1'!AM120-R$106)/R$107</f>
        <v>0.36132897205421016</v>
      </c>
      <c r="S229" s="17">
        <f>('Q1'!AN120-S$106)/S$107</f>
        <v>0.4696405358509666</v>
      </c>
    </row>
    <row r="230" spans="2:19">
      <c r="B230" s="17">
        <f>('Q1'!W121-B$106)/B$107</f>
        <v>-0.29519311146307031</v>
      </c>
      <c r="C230" s="17">
        <f>('Q1'!X121-C$106)/C$107</f>
        <v>-1.4788698988788969E-2</v>
      </c>
      <c r="D230" s="17">
        <f>('Q1'!Y121-D$106)/D$107</f>
        <v>-0.90004832422048608</v>
      </c>
      <c r="E230" s="17">
        <f>('Q1'!Z121-E$106)/E$107</f>
        <v>1.7391346241281676E-3</v>
      </c>
      <c r="F230" s="17">
        <f>('Q1'!AA121-F$106)/F$107</f>
        <v>-1.3375266928784608</v>
      </c>
      <c r="G230" s="17">
        <f>('Q1'!AB121-G$106)/G$107</f>
        <v>-0.43748611783466612</v>
      </c>
      <c r="H230" s="17">
        <f>('Q1'!AC121-H$106)/H$107</f>
        <v>-1.0564263727941943</v>
      </c>
      <c r="I230" s="17">
        <f>('Q1'!AD121-I$106)/I$107</f>
        <v>0.14979233211303195</v>
      </c>
      <c r="J230" s="17">
        <f>('Q1'!AE121-J$106)/J$107</f>
        <v>-9.9456214504487106E-2</v>
      </c>
      <c r="K230" s="17">
        <f>('Q1'!AF121-K$106)/K$107</f>
        <v>0.35928906735315891</v>
      </c>
      <c r="L230" s="17">
        <f>('Q1'!AG121-L$106)/L$107</f>
        <v>-0.90103687611992955</v>
      </c>
      <c r="M230" s="17">
        <f>('Q1'!AH121-M$106)/M$107</f>
        <v>0.38488986458359881</v>
      </c>
      <c r="N230" s="17">
        <f>('Q1'!AI121-N$106)/N$107</f>
        <v>0.52544378812436765</v>
      </c>
      <c r="O230" s="17">
        <f>('Q1'!AJ121-O$106)/O$107</f>
        <v>-1.0332011992132608</v>
      </c>
      <c r="P230" s="17">
        <f>('Q1'!AK121-P$106)/P$107</f>
        <v>-1.0342968285280842</v>
      </c>
      <c r="Q230" s="17">
        <f>('Q1'!AL121-Q$106)/Q$107</f>
        <v>-0.69995926585688506</v>
      </c>
      <c r="R230" s="17">
        <f>('Q1'!AM121-R$106)/R$107</f>
        <v>-1.0905175685735675</v>
      </c>
      <c r="S230" s="17">
        <f>('Q1'!AN121-S$106)/S$107</f>
        <v>-0.99943905097959307</v>
      </c>
    </row>
    <row r="231" spans="2:19">
      <c r="B231" s="17">
        <f>('Q1'!W122-B$106)/B$107</f>
        <v>0.92096795771462914</v>
      </c>
      <c r="C231" s="17">
        <f>('Q1'!X122-C$106)/C$107</f>
        <v>0.79026570544602148</v>
      </c>
      <c r="D231" s="17">
        <f>('Q1'!Y122-D$106)/D$107</f>
        <v>0.80383220981509751</v>
      </c>
      <c r="E231" s="17">
        <f>('Q1'!Z122-E$106)/E$107</f>
        <v>0.18280489922210588</v>
      </c>
      <c r="F231" s="17">
        <f>('Q1'!AA122-F$106)/F$107</f>
        <v>1.333582093841619</v>
      </c>
      <c r="G231" s="17">
        <f>('Q1'!AB122-G$106)/G$107</f>
        <v>1.5020001182463147</v>
      </c>
      <c r="H231" s="17">
        <f>('Q1'!AC122-H$106)/H$107</f>
        <v>1.6091313043057425</v>
      </c>
      <c r="I231" s="17">
        <f>('Q1'!AD122-I$106)/I$107</f>
        <v>0.54978349921259961</v>
      </c>
      <c r="J231" s="17">
        <f>('Q1'!AE122-J$106)/J$107</f>
        <v>1.2668182468326936</v>
      </c>
      <c r="K231" s="17">
        <f>('Q1'!AF122-K$106)/K$107</f>
        <v>-1.0506548691335496</v>
      </c>
      <c r="L231" s="17">
        <f>('Q1'!AG122-L$106)/L$107</f>
        <v>8.6394383344157777E-2</v>
      </c>
      <c r="M231" s="17">
        <f>('Q1'!AH122-M$106)/M$107</f>
        <v>-1.5924226668657446</v>
      </c>
      <c r="N231" s="17">
        <f>('Q1'!AI122-N$106)/N$107</f>
        <v>-0.58010019655397427</v>
      </c>
      <c r="O231" s="17">
        <f>('Q1'!AJ122-O$106)/O$107</f>
        <v>1.2181720135554237</v>
      </c>
      <c r="P231" s="17">
        <f>('Q1'!AK122-P$106)/P$107</f>
        <v>0.35827648185665206</v>
      </c>
      <c r="Q231" s="17">
        <f>('Q1'!AL122-Q$106)/Q$107</f>
        <v>-0.60749789331181858</v>
      </c>
      <c r="R231" s="17">
        <f>('Q1'!AM122-R$106)/R$107</f>
        <v>6.7334611148096343E-2</v>
      </c>
      <c r="S231" s="17">
        <f>('Q1'!AN122-S$106)/S$107</f>
        <v>0.4461953405314727</v>
      </c>
    </row>
    <row r="232" spans="2:19">
      <c r="B232" s="17">
        <f>('Q1'!W123-B$106)/B$107</f>
        <v>1.0836971312505412</v>
      </c>
      <c r="C232" s="17">
        <f>('Q1'!X123-C$106)/C$107</f>
        <v>0.55418205646404262</v>
      </c>
      <c r="D232" s="17">
        <f>('Q1'!Y123-D$106)/D$107</f>
        <v>0.65221299482261064</v>
      </c>
      <c r="E232" s="17">
        <f>('Q1'!Z123-E$106)/E$107</f>
        <v>1.6182519820065864</v>
      </c>
      <c r="F232" s="17">
        <f>('Q1'!AA123-F$106)/F$107</f>
        <v>1.840542713634304</v>
      </c>
      <c r="G232" s="17">
        <f>('Q1'!AB123-G$106)/G$107</f>
        <v>0.99259032361294097</v>
      </c>
      <c r="H232" s="17">
        <f>('Q1'!AC123-H$106)/H$107</f>
        <v>0.27720249261903018</v>
      </c>
      <c r="I232" s="17">
        <f>('Q1'!AD123-I$106)/I$107</f>
        <v>-0.15209275734242464</v>
      </c>
      <c r="J232" s="17">
        <f>('Q1'!AE123-J$106)/J$107</f>
        <v>-8.6356937852215709E-2</v>
      </c>
      <c r="K232" s="17">
        <f>('Q1'!AF123-K$106)/K$107</f>
        <v>-0.29180935536502428</v>
      </c>
      <c r="L232" s="17">
        <f>('Q1'!AG123-L$106)/L$107</f>
        <v>0.77254029224932486</v>
      </c>
      <c r="M232" s="17">
        <f>('Q1'!AH123-M$106)/M$107</f>
        <v>0.10665804194115723</v>
      </c>
      <c r="N232" s="17">
        <f>('Q1'!AI123-N$106)/N$107</f>
        <v>1.5730255595885132</v>
      </c>
      <c r="O232" s="17">
        <f>('Q1'!AJ123-O$106)/O$107</f>
        <v>2.2962133902738397</v>
      </c>
      <c r="P232" s="17">
        <f>('Q1'!AK123-P$106)/P$107</f>
        <v>1.1095284026243928</v>
      </c>
      <c r="Q232" s="17">
        <f>('Q1'!AL123-Q$106)/Q$107</f>
        <v>0.97659992103302484</v>
      </c>
      <c r="R232" s="17">
        <f>('Q1'!AM123-R$106)/R$107</f>
        <v>0.17975367280824253</v>
      </c>
      <c r="S232" s="17">
        <f>('Q1'!AN123-S$106)/S$107</f>
        <v>8.6246993590550811E-2</v>
      </c>
    </row>
    <row r="233" spans="2:19">
      <c r="B233" s="17">
        <f>('Q1'!W124-B$106)/B$107</f>
        <v>-0.56846097162130815</v>
      </c>
      <c r="C233" s="17">
        <f>('Q1'!X124-C$106)/C$107</f>
        <v>-9.7343424861145472E-2</v>
      </c>
      <c r="D233" s="17">
        <f>('Q1'!Y124-D$106)/D$107</f>
        <v>-0.6994858521963595</v>
      </c>
      <c r="E233" s="17">
        <f>('Q1'!Z124-E$106)/E$107</f>
        <v>0.65461201622348508</v>
      </c>
      <c r="F233" s="17">
        <f>('Q1'!AA124-F$106)/F$107</f>
        <v>0.13237666377768034</v>
      </c>
      <c r="G233" s="17">
        <f>('Q1'!AB124-G$106)/G$107</f>
        <v>0.45773079493135116</v>
      </c>
      <c r="H233" s="17">
        <f>('Q1'!AC124-H$106)/H$107</f>
        <v>-5.0994104625717317E-2</v>
      </c>
      <c r="I233" s="17">
        <f>('Q1'!AD124-I$106)/I$107</f>
        <v>-0.49439254104009284</v>
      </c>
      <c r="J233" s="17">
        <f>('Q1'!AE124-J$106)/J$107</f>
        <v>0.93250507230870172</v>
      </c>
      <c r="K233" s="17">
        <f>('Q1'!AF124-K$106)/K$107</f>
        <v>-0.48199305753476335</v>
      </c>
      <c r="L233" s="17">
        <f>('Q1'!AG124-L$106)/L$107</f>
        <v>1.2411674386473426</v>
      </c>
      <c r="M233" s="17">
        <f>('Q1'!AH124-M$106)/M$107</f>
        <v>-1.1489242370379995</v>
      </c>
      <c r="N233" s="17">
        <f>('Q1'!AI124-N$106)/N$107</f>
        <v>0.65315834283950314</v>
      </c>
      <c r="O233" s="17">
        <f>('Q1'!AJ124-O$106)/O$107</f>
        <v>-0.17852502046352056</v>
      </c>
      <c r="P233" s="17">
        <f>('Q1'!AK124-P$106)/P$107</f>
        <v>0.77086616930267715</v>
      </c>
      <c r="Q233" s="17">
        <f>('Q1'!AL124-Q$106)/Q$107</f>
        <v>-9.3864349237707048E-2</v>
      </c>
      <c r="R233" s="17">
        <f>('Q1'!AM124-R$106)/R$107</f>
        <v>0.38268879510054077</v>
      </c>
      <c r="S233" s="17">
        <f>('Q1'!AN124-S$106)/S$107</f>
        <v>-1.4331375054449591E-2</v>
      </c>
    </row>
    <row r="234" spans="2:19">
      <c r="B234" s="17">
        <f>('Q1'!W125-B$106)/B$107</f>
        <v>-1.1917379170243154</v>
      </c>
      <c r="C234" s="17">
        <f>('Q1'!X125-C$106)/C$107</f>
        <v>-1.1542571857517281</v>
      </c>
      <c r="D234" s="17">
        <f>('Q1'!Y125-D$106)/D$107</f>
        <v>-0.94601679090950597</v>
      </c>
      <c r="E234" s="17">
        <f>('Q1'!Z125-E$106)/E$107</f>
        <v>-0.83027180212182639</v>
      </c>
      <c r="F234" s="17">
        <f>('Q1'!AA125-F$106)/F$107</f>
        <v>-0.74389719251929343</v>
      </c>
      <c r="G234" s="17">
        <f>('Q1'!AB125-G$106)/G$107</f>
        <v>-0.40719906157012709</v>
      </c>
      <c r="H234" s="17">
        <f>('Q1'!AC125-H$106)/H$107</f>
        <v>-0.61688457651222162</v>
      </c>
      <c r="I234" s="17">
        <f>('Q1'!AD125-I$106)/I$107</f>
        <v>-0.33895773130244583</v>
      </c>
      <c r="J234" s="17">
        <f>('Q1'!AE125-J$106)/J$107</f>
        <v>-1.3311820118817461</v>
      </c>
      <c r="K234" s="17">
        <f>('Q1'!AF125-K$106)/K$107</f>
        <v>-1.5402616111852334</v>
      </c>
      <c r="L234" s="17">
        <f>('Q1'!AG125-L$106)/L$107</f>
        <v>-1.620853998590718</v>
      </c>
      <c r="M234" s="17">
        <f>('Q1'!AH125-M$106)/M$107</f>
        <v>-0.70877426671128874</v>
      </c>
      <c r="N234" s="17">
        <f>('Q1'!AI125-N$106)/N$107</f>
        <v>-1.7273681235962759</v>
      </c>
      <c r="O234" s="17">
        <f>('Q1'!AJ125-O$106)/O$107</f>
        <v>-1.2240338348392445</v>
      </c>
      <c r="P234" s="17">
        <f>('Q1'!AK125-P$106)/P$107</f>
        <v>-0.3789214123247675</v>
      </c>
      <c r="Q234" s="17">
        <f>('Q1'!AL125-Q$106)/Q$107</f>
        <v>-0.83427940451637217</v>
      </c>
      <c r="R234" s="17">
        <f>('Q1'!AM125-R$106)/R$107</f>
        <v>-2.0850015343205248</v>
      </c>
      <c r="S234" s="17">
        <f>('Q1'!AN125-S$106)/S$107</f>
        <v>-0.49868950355953751</v>
      </c>
    </row>
    <row r="235" spans="2:19">
      <c r="B235" s="17">
        <f>('Q1'!W126-B$106)/B$107</f>
        <v>-0.84932865173903449</v>
      </c>
      <c r="C235" s="17">
        <f>('Q1'!X126-C$106)/C$107</f>
        <v>-0.88094830684611236</v>
      </c>
      <c r="D235" s="17">
        <f>('Q1'!Y126-D$106)/D$107</f>
        <v>-1.0122546582166878</v>
      </c>
      <c r="E235" s="17">
        <f>('Q1'!Z126-E$106)/E$107</f>
        <v>-0.45812205482922852</v>
      </c>
      <c r="F235" s="17">
        <f>('Q1'!AA126-F$106)/F$107</f>
        <v>-1.2667521872973766</v>
      </c>
      <c r="G235" s="17">
        <f>('Q1'!AB126-G$106)/G$107</f>
        <v>-1.5878200362061106</v>
      </c>
      <c r="H235" s="17">
        <f>('Q1'!AC126-H$106)/H$107</f>
        <v>-0.6034955294138491</v>
      </c>
      <c r="I235" s="17">
        <f>('Q1'!AD126-I$106)/I$107</f>
        <v>-0.50672726218320985</v>
      </c>
      <c r="J235" s="17">
        <f>('Q1'!AE126-J$106)/J$107</f>
        <v>-1.175638447661459</v>
      </c>
      <c r="K235" s="17">
        <f>('Q1'!AF126-K$106)/K$107</f>
        <v>-0.95708817991423312</v>
      </c>
      <c r="L235" s="17">
        <f>('Q1'!AG126-L$106)/L$107</f>
        <v>-0.1658649435176027</v>
      </c>
      <c r="M235" s="17">
        <f>('Q1'!AH126-M$106)/M$107</f>
        <v>-0.74234957687645975</v>
      </c>
      <c r="N235" s="17">
        <f>('Q1'!AI126-N$106)/N$107</f>
        <v>-1.4000470468265114</v>
      </c>
      <c r="O235" s="17">
        <f>('Q1'!AJ126-O$106)/O$107</f>
        <v>-0.91664836254676108</v>
      </c>
      <c r="P235" s="17">
        <f>('Q1'!AK126-P$106)/P$107</f>
        <v>-0.4214528354872521</v>
      </c>
      <c r="Q235" s="17">
        <f>('Q1'!AL126-Q$106)/Q$107</f>
        <v>-1.1800497298609183</v>
      </c>
      <c r="R235" s="17">
        <f>('Q1'!AM126-R$106)/R$107</f>
        <v>-1.4478758897379949</v>
      </c>
      <c r="S235" s="17">
        <f>('Q1'!AN126-S$106)/S$107</f>
        <v>-0.22293805748899026</v>
      </c>
    </row>
    <row r="236" spans="2:19">
      <c r="B236" s="17">
        <f>('Q1'!W127-B$106)/B$107</f>
        <v>2.5044223627736391</v>
      </c>
      <c r="C236" s="17">
        <f>('Q1'!X127-C$106)/C$107</f>
        <v>-0.29493507112404771</v>
      </c>
      <c r="D236" s="17">
        <f>('Q1'!Y127-D$106)/D$107</f>
        <v>1.0528840393583083</v>
      </c>
      <c r="E236" s="17">
        <f>('Q1'!Z127-E$106)/E$107</f>
        <v>0.75266232927107002</v>
      </c>
      <c r="F236" s="17">
        <f>('Q1'!AA127-F$106)/F$107</f>
        <v>1.6033543309550193</v>
      </c>
      <c r="G236" s="17">
        <f>('Q1'!AB127-G$106)/G$107</f>
        <v>0.27145456905758242</v>
      </c>
      <c r="H236" s="17">
        <f>('Q1'!AC127-H$106)/H$107</f>
        <v>2.296139452654002</v>
      </c>
      <c r="I236" s="17">
        <f>('Q1'!AD127-I$106)/I$107</f>
        <v>0.23837252247403798</v>
      </c>
      <c r="J236" s="17">
        <f>('Q1'!AE127-J$106)/J$107</f>
        <v>1.6384296086417678</v>
      </c>
      <c r="K236" s="17">
        <f>('Q1'!AF127-K$106)/K$107</f>
        <v>0.78984177526955368</v>
      </c>
      <c r="L236" s="17">
        <f>('Q1'!AG127-L$106)/L$107</f>
        <v>1.3170254088012872</v>
      </c>
      <c r="M236" s="17">
        <f>('Q1'!AH127-M$106)/M$107</f>
        <v>3.7316789252588335E-2</v>
      </c>
      <c r="N236" s="17">
        <f>('Q1'!AI127-N$106)/N$107</f>
        <v>0.88533904523356</v>
      </c>
      <c r="O236" s="17">
        <f>('Q1'!AJ127-O$106)/O$107</f>
        <v>1.2623909136287814</v>
      </c>
      <c r="P236" s="17">
        <f>('Q1'!AK127-P$106)/P$107</f>
        <v>-2.7456132892260114E-2</v>
      </c>
      <c r="Q236" s="17">
        <f>('Q1'!AL127-Q$106)/Q$107</f>
        <v>0.44711358432084253</v>
      </c>
      <c r="R236" s="17">
        <f>('Q1'!AM127-R$106)/R$107</f>
        <v>1.3679892035328705</v>
      </c>
      <c r="S236" s="17">
        <f>('Q1'!AN127-S$106)/S$107</f>
        <v>0.45829328543679687</v>
      </c>
    </row>
    <row r="237" spans="2:19">
      <c r="B237" s="17">
        <f>('Q1'!W128-B$106)/B$107</f>
        <v>-0.98665241854181041</v>
      </c>
      <c r="C237" s="17">
        <f>('Q1'!X128-C$106)/C$107</f>
        <v>-1.1118486114001875</v>
      </c>
      <c r="D237" s="17">
        <f>('Q1'!Y128-D$106)/D$107</f>
        <v>-1.2602121359224041</v>
      </c>
      <c r="E237" s="17">
        <f>('Q1'!Z128-E$106)/E$107</f>
        <v>-0.84144331943898021</v>
      </c>
      <c r="F237" s="17">
        <f>('Q1'!AA128-F$106)/F$107</f>
        <v>-1.3818251311481964</v>
      </c>
      <c r="G237" s="17">
        <f>('Q1'!AB128-G$106)/G$107</f>
        <v>0.24340191789260804</v>
      </c>
      <c r="H237" s="17">
        <f>('Q1'!AC128-H$106)/H$107</f>
        <v>-0.80387217483479589</v>
      </c>
      <c r="I237" s="17">
        <f>('Q1'!AD128-I$106)/I$107</f>
        <v>-0.47829698702028334</v>
      </c>
      <c r="J237" s="17">
        <f>('Q1'!AE128-J$106)/J$107</f>
        <v>-1.0133478825340188</v>
      </c>
      <c r="K237" s="17">
        <f>('Q1'!AF128-K$106)/K$107</f>
        <v>0.93482077315469181</v>
      </c>
      <c r="L237" s="17">
        <f>('Q1'!AG128-L$106)/L$107</f>
        <v>-1.3031286343423489</v>
      </c>
      <c r="M237" s="17">
        <f>('Q1'!AH128-M$106)/M$107</f>
        <v>-1.8437591190738054</v>
      </c>
      <c r="N237" s="17">
        <f>('Q1'!AI128-N$106)/N$107</f>
        <v>-1.9352884486040347</v>
      </c>
      <c r="O237" s="17">
        <f>('Q1'!AJ128-O$106)/O$107</f>
        <v>-0.78655544907111319</v>
      </c>
      <c r="P237" s="17">
        <f>('Q1'!AK128-P$106)/P$107</f>
        <v>-0.73051980460340415</v>
      </c>
      <c r="Q237" s="17">
        <f>('Q1'!AL128-Q$106)/Q$107</f>
        <v>0.28982036174154319</v>
      </c>
      <c r="R237" s="17">
        <f>('Q1'!AM128-R$106)/R$107</f>
        <v>-1.2801094623874523</v>
      </c>
      <c r="S237" s="17">
        <f>('Q1'!AN128-S$106)/S$107</f>
        <v>-0.66623326883251754</v>
      </c>
    </row>
    <row r="238" spans="2:19">
      <c r="B238" s="17">
        <f>('Q1'!W129-B$106)/B$107</f>
        <v>0.10005940999319267</v>
      </c>
      <c r="C238" s="17">
        <f>('Q1'!X129-C$106)/C$107</f>
        <v>0.37247183687251445</v>
      </c>
      <c r="D238" s="17">
        <f>('Q1'!Y129-D$106)/D$107</f>
        <v>0.42266777338026146</v>
      </c>
      <c r="E238" s="17">
        <f>('Q1'!Z129-E$106)/E$107</f>
        <v>0.4389244314855788</v>
      </c>
      <c r="F238" s="17">
        <f>('Q1'!AA129-F$106)/F$107</f>
        <v>0.48097034144960876</v>
      </c>
      <c r="G238" s="17">
        <f>('Q1'!AB129-G$106)/G$107</f>
        <v>1.4001824829667762</v>
      </c>
      <c r="H238" s="17">
        <f>('Q1'!AC129-H$106)/H$107</f>
        <v>1.0705812719634948</v>
      </c>
      <c r="I238" s="17">
        <f>('Q1'!AD129-I$106)/I$107</f>
        <v>-4.9977472937814627E-2</v>
      </c>
      <c r="J238" s="17">
        <f>('Q1'!AE129-J$106)/J$107</f>
        <v>1.5670781666141778</v>
      </c>
      <c r="K238" s="17">
        <f>('Q1'!AF129-K$106)/K$107</f>
        <v>1.4396283228402498</v>
      </c>
      <c r="L238" s="17">
        <f>('Q1'!AG129-L$106)/L$107</f>
        <v>0.48197814781438442</v>
      </c>
      <c r="M238" s="17">
        <f>('Q1'!AH129-M$106)/M$107</f>
        <v>0.7103967058473134</v>
      </c>
      <c r="N238" s="17">
        <f>('Q1'!AI129-N$106)/N$107</f>
        <v>0.70887698828198931</v>
      </c>
      <c r="O238" s="17">
        <f>('Q1'!AJ129-O$106)/O$107</f>
        <v>0.87579987515108249</v>
      </c>
      <c r="P238" s="17">
        <f>('Q1'!AK129-P$106)/P$107</f>
        <v>1.2790308910052546</v>
      </c>
      <c r="Q238" s="17">
        <f>('Q1'!AL129-Q$106)/Q$107</f>
        <v>1.8482724268060704</v>
      </c>
      <c r="R238" s="17">
        <f>('Q1'!AM129-R$106)/R$107</f>
        <v>0.461872882323978</v>
      </c>
      <c r="S238" s="17">
        <f>('Q1'!AN129-S$106)/S$107</f>
        <v>1.2225247958670897</v>
      </c>
    </row>
    <row r="239" spans="2:19">
      <c r="B239" s="17">
        <f>('Q1'!W130-B$106)/B$107</f>
        <v>-0.58906660300508551</v>
      </c>
      <c r="C239" s="17">
        <f>('Q1'!X130-C$106)/C$107</f>
        <v>-1.2270153967437458</v>
      </c>
      <c r="D239" s="17">
        <f>('Q1'!Y130-D$106)/D$107</f>
        <v>-0.26128940416999369</v>
      </c>
      <c r="E239" s="17">
        <f>('Q1'!Z130-E$106)/E$107</f>
        <v>0.547083767253841</v>
      </c>
      <c r="F239" s="17">
        <f>('Q1'!AA130-F$106)/F$107</f>
        <v>0.19939389865961601</v>
      </c>
      <c r="G239" s="17">
        <f>('Q1'!AB130-G$106)/G$107</f>
        <v>0.14423077597365963</v>
      </c>
      <c r="H239" s="17">
        <f>('Q1'!AC130-H$106)/H$107</f>
        <v>1.098681597317883</v>
      </c>
      <c r="I239" s="17">
        <f>('Q1'!AD130-I$106)/I$107</f>
        <v>1.0329521841946261</v>
      </c>
      <c r="J239" s="17">
        <f>('Q1'!AE130-J$106)/J$107</f>
        <v>9.0258521380355797E-2</v>
      </c>
      <c r="K239" s="17">
        <f>('Q1'!AF130-K$106)/K$107</f>
        <v>0.17292378382602541</v>
      </c>
      <c r="L239" s="17">
        <f>('Q1'!AG130-L$106)/L$107</f>
        <v>-0.26893435778673547</v>
      </c>
      <c r="M239" s="17">
        <f>('Q1'!AH130-M$106)/M$107</f>
        <v>-0.15635770436769134</v>
      </c>
      <c r="N239" s="17">
        <f>('Q1'!AI130-N$106)/N$107</f>
        <v>0.33333542851875136</v>
      </c>
      <c r="O239" s="17">
        <f>('Q1'!AJ130-O$106)/O$107</f>
        <v>-0.16712654410674635</v>
      </c>
      <c r="P239" s="17">
        <f>('Q1'!AK130-P$106)/P$107</f>
        <v>0.31601230495682536</v>
      </c>
      <c r="Q239" s="17">
        <f>('Q1'!AL130-Q$106)/Q$107</f>
        <v>0.23626122419364465</v>
      </c>
      <c r="R239" s="17">
        <f>('Q1'!AM130-R$106)/R$107</f>
        <v>0.96057171390087182</v>
      </c>
      <c r="S239" s="17">
        <f>('Q1'!AN130-S$106)/S$107</f>
        <v>0.88479970341045588</v>
      </c>
    </row>
    <row r="240" spans="2:19">
      <c r="B240" s="17">
        <f>('Q1'!W131-B$106)/B$107</f>
        <v>-0.76866277465575861</v>
      </c>
      <c r="C240" s="17">
        <f>('Q1'!X131-C$106)/C$107</f>
        <v>-0.48817142841217709</v>
      </c>
      <c r="D240" s="17">
        <f>('Q1'!Y131-D$106)/D$107</f>
        <v>-0.18508106367247737</v>
      </c>
      <c r="E240" s="17">
        <f>('Q1'!Z131-E$106)/E$107</f>
        <v>3.7591517931522184E-2</v>
      </c>
      <c r="F240" s="17">
        <f>('Q1'!AA131-F$106)/F$107</f>
        <v>-0.12666851952475688</v>
      </c>
      <c r="G240" s="17">
        <f>('Q1'!AB131-G$106)/G$107</f>
        <v>0.58785423758480182</v>
      </c>
      <c r="H240" s="17">
        <f>('Q1'!AC131-H$106)/H$107</f>
        <v>-0.51429809354337086</v>
      </c>
      <c r="I240" s="17">
        <f>('Q1'!AD131-I$106)/I$107</f>
        <v>-0.77786263411610268</v>
      </c>
      <c r="J240" s="17">
        <f>('Q1'!AE131-J$106)/J$107</f>
        <v>-0.58567870103340336</v>
      </c>
      <c r="K240" s="17">
        <f>('Q1'!AF131-K$106)/K$107</f>
        <v>-1.1301065461470452</v>
      </c>
      <c r="L240" s="17">
        <f>('Q1'!AG131-L$106)/L$107</f>
        <v>0.40658355980420358</v>
      </c>
      <c r="M240" s="17">
        <f>('Q1'!AH131-M$106)/M$107</f>
        <v>1.6475210176396529</v>
      </c>
      <c r="N240" s="17">
        <f>('Q1'!AI131-N$106)/N$107</f>
        <v>0.41422762817757225</v>
      </c>
      <c r="O240" s="17">
        <f>('Q1'!AJ131-O$106)/O$107</f>
        <v>8.6542902100568808E-2</v>
      </c>
      <c r="P240" s="17">
        <f>('Q1'!AK131-P$106)/P$107</f>
        <v>7.2453439182386087E-2</v>
      </c>
      <c r="Q240" s="17">
        <f>('Q1'!AL131-Q$106)/Q$107</f>
        <v>0.31079122818716398</v>
      </c>
      <c r="R240" s="17">
        <f>('Q1'!AM131-R$106)/R$107</f>
        <v>-0.80879973595750354</v>
      </c>
      <c r="S240" s="17">
        <f>('Q1'!AN131-S$106)/S$107</f>
        <v>-0.30281003216262797</v>
      </c>
    </row>
    <row r="241" spans="2:19">
      <c r="B241" s="17">
        <f>('Q1'!W132-B$106)/B$107</f>
        <v>0.15773065923772336</v>
      </c>
      <c r="C241" s="17">
        <f>('Q1'!X132-C$106)/C$107</f>
        <v>1.8839809951161965</v>
      </c>
      <c r="D241" s="17">
        <f>('Q1'!Y132-D$106)/D$107</f>
        <v>1.4532104730140243</v>
      </c>
      <c r="E241" s="17">
        <f>('Q1'!Z132-E$106)/E$107</f>
        <v>1.0599292780000311</v>
      </c>
      <c r="F241" s="17">
        <f>('Q1'!AA132-F$106)/F$107</f>
        <v>-0.45423613459840667</v>
      </c>
      <c r="G241" s="17">
        <f>('Q1'!AB132-G$106)/G$107</f>
        <v>-0.18981036943255794</v>
      </c>
      <c r="H241" s="17">
        <f>('Q1'!AC132-H$106)/H$107</f>
        <v>1.1787426445360649</v>
      </c>
      <c r="I241" s="17">
        <f>('Q1'!AD132-I$106)/I$107</f>
        <v>0.9020601687182126</v>
      </c>
      <c r="J241" s="17">
        <f>('Q1'!AE132-J$106)/J$107</f>
        <v>1.3405407704778545</v>
      </c>
      <c r="K241" s="17">
        <f>('Q1'!AF132-K$106)/K$107</f>
        <v>1.3425200436535771</v>
      </c>
      <c r="L241" s="17">
        <f>('Q1'!AG132-L$106)/L$107</f>
        <v>-0.19553980334692639</v>
      </c>
      <c r="M241" s="17">
        <f>('Q1'!AH132-M$106)/M$107</f>
        <v>0.83095408762191469</v>
      </c>
      <c r="N241" s="17">
        <f>('Q1'!AI132-N$106)/N$107</f>
        <v>1.5835954797087415</v>
      </c>
      <c r="O241" s="17">
        <f>('Q1'!AJ132-O$106)/O$107</f>
        <v>0.15097331585409166</v>
      </c>
      <c r="P241" s="17">
        <f>('Q1'!AK132-P$106)/P$107</f>
        <v>9.8507918347277387E-2</v>
      </c>
      <c r="Q241" s="17">
        <f>('Q1'!AL132-Q$106)/Q$107</f>
        <v>3.4595889194409091E-2</v>
      </c>
      <c r="R241" s="17">
        <f>('Q1'!AM132-R$106)/R$107</f>
        <v>1.2434190988513298</v>
      </c>
      <c r="S241" s="17">
        <f>('Q1'!AN132-S$106)/S$107</f>
        <v>0.48932405665912859</v>
      </c>
    </row>
    <row r="242" spans="2:19">
      <c r="B242" s="17">
        <f>('Q1'!W133-B$106)/B$107</f>
        <v>1.0655048456304397</v>
      </c>
      <c r="C242" s="17">
        <f>('Q1'!X133-C$106)/C$107</f>
        <v>0.1805941181393603</v>
      </c>
      <c r="D242" s="17">
        <f>('Q1'!Y133-D$106)/D$107</f>
        <v>0.57172514176881251</v>
      </c>
      <c r="E242" s="17">
        <f>('Q1'!Z133-E$106)/E$107</f>
        <v>0.13925984070229427</v>
      </c>
      <c r="F242" s="17">
        <f>('Q1'!AA133-F$106)/F$107</f>
        <v>-0.13470294520940965</v>
      </c>
      <c r="G242" s="17">
        <f>('Q1'!AB133-G$106)/G$107</f>
        <v>-0.72312450792109306</v>
      </c>
      <c r="H242" s="17">
        <f>('Q1'!AC133-H$106)/H$107</f>
        <v>1.0247510965517861</v>
      </c>
      <c r="I242" s="17">
        <f>('Q1'!AD133-I$106)/I$107</f>
        <v>-0.51624840630815383</v>
      </c>
      <c r="J242" s="17">
        <f>('Q1'!AE133-J$106)/J$107</f>
        <v>0.98328427763276494</v>
      </c>
      <c r="K242" s="17">
        <f>('Q1'!AF133-K$106)/K$107</f>
        <v>0.60237251746193254</v>
      </c>
      <c r="L242" s="17">
        <f>('Q1'!AG133-L$106)/L$107</f>
        <v>2.1509348591863722E-4</v>
      </c>
      <c r="M242" s="17">
        <f>('Q1'!AH133-M$106)/M$107</f>
        <v>0.2487123849470812</v>
      </c>
      <c r="N242" s="17">
        <f>('Q1'!AI133-N$106)/N$107</f>
        <v>0.43852030612192183</v>
      </c>
      <c r="O242" s="17">
        <f>('Q1'!AJ133-O$106)/O$107</f>
        <v>-4.0621501492133255E-2</v>
      </c>
      <c r="P242" s="17">
        <f>('Q1'!AK133-P$106)/P$107</f>
        <v>0.23676885977797033</v>
      </c>
      <c r="Q242" s="17">
        <f>('Q1'!AL133-Q$106)/Q$107</f>
        <v>-0.6204683717610332</v>
      </c>
      <c r="R242" s="17">
        <f>('Q1'!AM133-R$106)/R$107</f>
        <v>-0.22992643027837503</v>
      </c>
      <c r="S242" s="17">
        <f>('Q1'!AN133-S$106)/S$107</f>
        <v>1.3480181977827583</v>
      </c>
    </row>
    <row r="243" spans="2:19">
      <c r="B243" s="17">
        <f>('Q1'!W134-B$106)/B$107</f>
        <v>0.79289638465411627</v>
      </c>
      <c r="C243" s="17">
        <f>('Q1'!X134-C$106)/C$107</f>
        <v>0.27667759968452038</v>
      </c>
      <c r="D243" s="17">
        <f>('Q1'!Y134-D$106)/D$107</f>
        <v>0.34466706802613284</v>
      </c>
      <c r="E243" s="17">
        <f>('Q1'!Z134-E$106)/E$107</f>
        <v>-0.27375500012898885</v>
      </c>
      <c r="F243" s="17">
        <f>('Q1'!AA134-F$106)/F$107</f>
        <v>1.522680935792917</v>
      </c>
      <c r="G243" s="17">
        <f>('Q1'!AB134-G$106)/G$107</f>
        <v>0.17825529978549332</v>
      </c>
      <c r="H243" s="17">
        <f>('Q1'!AC134-H$106)/H$107</f>
        <v>-0.28194420424758448</v>
      </c>
      <c r="I243" s="17">
        <f>('Q1'!AD134-I$106)/I$107</f>
        <v>-2.8143619406356683E-2</v>
      </c>
      <c r="J243" s="17">
        <f>('Q1'!AE134-J$106)/J$107</f>
        <v>0.3937486275398962</v>
      </c>
      <c r="K243" s="17">
        <f>('Q1'!AF134-K$106)/K$107</f>
        <v>0.85740170251169334</v>
      </c>
      <c r="L243" s="17">
        <f>('Q1'!AG134-L$106)/L$107</f>
        <v>-2.4251650674472505E-2</v>
      </c>
      <c r="M243" s="17">
        <f>('Q1'!AH134-M$106)/M$107</f>
        <v>0.2193561721647565</v>
      </c>
      <c r="N243" s="17">
        <f>('Q1'!AI134-N$106)/N$107</f>
        <v>-0.1773379796899279</v>
      </c>
      <c r="O243" s="17">
        <f>('Q1'!AJ134-O$106)/O$107</f>
        <v>1.7053497752432627</v>
      </c>
      <c r="P243" s="17">
        <f>('Q1'!AK134-P$106)/P$107</f>
        <v>0.13706855786580041</v>
      </c>
      <c r="Q243" s="17">
        <f>('Q1'!AL134-Q$106)/Q$107</f>
        <v>-2.2273802785696272E-3</v>
      </c>
      <c r="R243" s="17">
        <f>('Q1'!AM134-R$106)/R$107</f>
        <v>-0.66667342381274031</v>
      </c>
      <c r="S243" s="17">
        <f>('Q1'!AN134-S$106)/S$107</f>
        <v>-0.10592809627791093</v>
      </c>
    </row>
    <row r="244" spans="2:19">
      <c r="B244" s="17">
        <f>('Q1'!W135-B$106)/B$107</f>
        <v>-1.0493808732199654</v>
      </c>
      <c r="C244" s="17">
        <f>('Q1'!X135-C$106)/C$107</f>
        <v>-0.70109624784962044</v>
      </c>
      <c r="D244" s="17">
        <f>('Q1'!Y135-D$106)/D$107</f>
        <v>-0.27706022396899299</v>
      </c>
      <c r="E244" s="17">
        <f>('Q1'!Z135-E$106)/E$107</f>
        <v>-0.50151463261896745</v>
      </c>
      <c r="F244" s="17">
        <f>('Q1'!AA135-F$106)/F$107</f>
        <v>8.6469398391437094E-2</v>
      </c>
      <c r="G244" s="17">
        <f>('Q1'!AB135-G$106)/G$107</f>
        <v>4.3070882386375443E-2</v>
      </c>
      <c r="H244" s="17">
        <f>('Q1'!AC135-H$106)/H$107</f>
        <v>0.72828688497636085</v>
      </c>
      <c r="I244" s="17">
        <f>('Q1'!AD135-I$106)/I$107</f>
        <v>-0.60177276933745893</v>
      </c>
      <c r="J244" s="17">
        <f>('Q1'!AE135-J$106)/J$107</f>
        <v>6.6432549773279267E-2</v>
      </c>
      <c r="K244" s="17">
        <f>('Q1'!AF135-K$106)/K$107</f>
        <v>1.0347383468299007</v>
      </c>
      <c r="L244" s="17">
        <f>('Q1'!AG135-L$106)/L$107</f>
        <v>0.2961254731916303</v>
      </c>
      <c r="M244" s="17">
        <f>('Q1'!AH135-M$106)/M$107</f>
        <v>-0.95680291249850813</v>
      </c>
      <c r="N244" s="17">
        <f>('Q1'!AI135-N$106)/N$107</f>
        <v>-0.30564221016678189</v>
      </c>
      <c r="O244" s="17">
        <f>('Q1'!AJ135-O$106)/O$107</f>
        <v>0.69906061827468013</v>
      </c>
      <c r="P244" s="17">
        <f>('Q1'!AK135-P$106)/P$107</f>
        <v>-0.35344020913129098</v>
      </c>
      <c r="Q244" s="17">
        <f>('Q1'!AL135-Q$106)/Q$107</f>
        <v>0.13816005645553017</v>
      </c>
      <c r="R244" s="17">
        <f>('Q1'!AM135-R$106)/R$107</f>
        <v>-0.63740752080085361</v>
      </c>
      <c r="S244" s="17">
        <f>('Q1'!AN135-S$106)/S$107</f>
        <v>6.2013210224422168E-2</v>
      </c>
    </row>
    <row r="245" spans="2:19">
      <c r="B245" s="17">
        <f>('Q1'!W136-B$106)/B$107</f>
        <v>0.34477869936219951</v>
      </c>
      <c r="C245" s="17">
        <f>('Q1'!X136-C$106)/C$107</f>
        <v>-0.80006439423369768</v>
      </c>
      <c r="D245" s="17">
        <f>('Q1'!Y136-D$106)/D$107</f>
        <v>-0.24829054527383934</v>
      </c>
      <c r="E245" s="17">
        <f>('Q1'!Z136-E$106)/E$107</f>
        <v>0.30621995473873292</v>
      </c>
      <c r="F245" s="17">
        <f>('Q1'!AA136-F$106)/F$107</f>
        <v>-2.7261341541834093E-2</v>
      </c>
      <c r="G245" s="17">
        <f>('Q1'!AB136-G$106)/G$107</f>
        <v>-0.17060014750523808</v>
      </c>
      <c r="H245" s="17">
        <f>('Q1'!AC136-H$106)/H$107</f>
        <v>-5.8811543547407058E-2</v>
      </c>
      <c r="I245" s="17">
        <f>('Q1'!AD136-I$106)/I$107</f>
        <v>0.90579023836721206</v>
      </c>
      <c r="J245" s="17">
        <f>('Q1'!AE136-J$106)/J$107</f>
        <v>-0.7300504698647905</v>
      </c>
      <c r="K245" s="17">
        <f>('Q1'!AF136-K$106)/K$107</f>
        <v>0.46930626067232983</v>
      </c>
      <c r="L245" s="17">
        <f>('Q1'!AG136-L$106)/L$107</f>
        <v>0.8329911980786151</v>
      </c>
      <c r="M245" s="17">
        <f>('Q1'!AH136-M$106)/M$107</f>
        <v>-1.4753995364566403</v>
      </c>
      <c r="N245" s="17">
        <f>('Q1'!AI136-N$106)/N$107</f>
        <v>-1.081728229534263</v>
      </c>
      <c r="O245" s="17">
        <f>('Q1'!AJ136-O$106)/O$107</f>
        <v>-0.47907346593009453</v>
      </c>
      <c r="P245" s="17">
        <f>('Q1'!AK136-P$106)/P$107</f>
        <v>-0.1910734441064319</v>
      </c>
      <c r="Q245" s="17">
        <f>('Q1'!AL136-Q$106)/Q$107</f>
        <v>0.51015089375833356</v>
      </c>
      <c r="R245" s="17">
        <f>('Q1'!AM136-R$106)/R$107</f>
        <v>0.11080812727867968</v>
      </c>
      <c r="S245" s="17">
        <f>('Q1'!AN136-S$106)/S$107</f>
        <v>0.54461980473694016</v>
      </c>
    </row>
    <row r="246" spans="2:19">
      <c r="B246" s="17">
        <f>('Q1'!W137-B$106)/B$107</f>
        <v>-0.35102340089649486</v>
      </c>
      <c r="C246" s="17">
        <f>('Q1'!X137-C$106)/C$107</f>
        <v>-0.48355897664163883</v>
      </c>
      <c r="D246" s="17">
        <f>('Q1'!Y137-D$106)/D$107</f>
        <v>-0.68473061836252092</v>
      </c>
      <c r="E246" s="17">
        <f>('Q1'!Z137-E$106)/E$107</f>
        <v>-0.91330148889829899</v>
      </c>
      <c r="F246" s="17">
        <f>('Q1'!AA137-F$106)/F$107</f>
        <v>-0.3761755172390201</v>
      </c>
      <c r="G246" s="17">
        <f>('Q1'!AB137-G$106)/G$107</f>
        <v>1.5466804938958594</v>
      </c>
      <c r="H246" s="17">
        <f>('Q1'!AC137-H$106)/H$107</f>
        <v>-1.6069000099933548</v>
      </c>
      <c r="I246" s="17">
        <f>('Q1'!AD137-I$106)/I$107</f>
        <v>0.65669515652252608</v>
      </c>
      <c r="J246" s="17">
        <f>('Q1'!AE137-J$106)/J$107</f>
        <v>8.1019919421180212E-2</v>
      </c>
      <c r="K246" s="17">
        <f>('Q1'!AF137-K$106)/K$107</f>
        <v>0.31057275297769182</v>
      </c>
      <c r="L246" s="17">
        <f>('Q1'!AG137-L$106)/L$107</f>
        <v>0.4969538402198373</v>
      </c>
      <c r="M246" s="17">
        <f>('Q1'!AH137-M$106)/M$107</f>
        <v>-0.20103690417080977</v>
      </c>
      <c r="N246" s="17">
        <f>('Q1'!AI137-N$106)/N$107</f>
        <v>-0.42433234948705312</v>
      </c>
      <c r="O246" s="17">
        <f>('Q1'!AJ137-O$106)/O$107</f>
        <v>-0.12497428373155538</v>
      </c>
      <c r="P246" s="17">
        <f>('Q1'!AK137-P$106)/P$107</f>
        <v>-0.29250976143694107</v>
      </c>
      <c r="Q246" s="17">
        <f>('Q1'!AL137-Q$106)/Q$107</f>
        <v>-0.13531793952112245</v>
      </c>
      <c r="R246" s="17">
        <f>('Q1'!AM137-R$106)/R$107</f>
        <v>-0.58731615428414774</v>
      </c>
      <c r="S246" s="17">
        <f>('Q1'!AN137-S$106)/S$107</f>
        <v>-0.23010825419708891</v>
      </c>
    </row>
    <row r="247" spans="2:19">
      <c r="B247" s="17">
        <f>('Q1'!W138-B$106)/B$107</f>
        <v>-0.91540701910254152</v>
      </c>
      <c r="C247" s="17">
        <f>('Q1'!X138-C$106)/C$107</f>
        <v>-0.70158919786904428</v>
      </c>
      <c r="D247" s="17">
        <f>('Q1'!Y138-D$106)/D$107</f>
        <v>-0.75486678058915357</v>
      </c>
      <c r="E247" s="17">
        <f>('Q1'!Z138-E$106)/E$107</f>
        <v>8.0233233392827744E-2</v>
      </c>
      <c r="F247" s="17">
        <f>('Q1'!AA138-F$106)/F$107</f>
        <v>-0.26016862192039691</v>
      </c>
      <c r="G247" s="17">
        <f>('Q1'!AB138-G$106)/G$107</f>
        <v>2.2808346426698534E-2</v>
      </c>
      <c r="H247" s="17">
        <f>('Q1'!AC138-H$106)/H$107</f>
        <v>-0.694719288725824</v>
      </c>
      <c r="I247" s="17">
        <f>('Q1'!AD138-I$106)/I$107</f>
        <v>-1.1569393501357699</v>
      </c>
      <c r="J247" s="17">
        <f>('Q1'!AE138-J$106)/J$107</f>
        <v>-0.34838648153710794</v>
      </c>
      <c r="K247" s="17">
        <f>('Q1'!AF138-K$106)/K$107</f>
        <v>-0.56887688356265731</v>
      </c>
      <c r="L247" s="17">
        <f>('Q1'!AG138-L$106)/L$107</f>
        <v>-9.7102661036558943E-2</v>
      </c>
      <c r="M247" s="17">
        <f>('Q1'!AH138-M$106)/M$107</f>
        <v>0.80288498705239209</v>
      </c>
      <c r="N247" s="17">
        <f>('Q1'!AI138-N$106)/N$107</f>
        <v>-0.20088740222570858</v>
      </c>
      <c r="O247" s="17">
        <f>('Q1'!AJ138-O$106)/O$107</f>
        <v>-0.36584463031919373</v>
      </c>
      <c r="P247" s="17">
        <f>('Q1'!AK138-P$106)/P$107</f>
        <v>-0.54925452809751063</v>
      </c>
      <c r="Q247" s="17">
        <f>('Q1'!AL138-Q$106)/Q$107</f>
        <v>0.13960578535220175</v>
      </c>
      <c r="R247" s="17">
        <f>('Q1'!AM138-R$106)/R$107</f>
        <v>0.42910554340076673</v>
      </c>
      <c r="S247" s="17">
        <f>('Q1'!AN138-S$106)/S$107</f>
        <v>0.18311738886202139</v>
      </c>
    </row>
    <row r="248" spans="2:19">
      <c r="B248" s="17">
        <f>('Q1'!W139-B$106)/B$107</f>
        <v>-1.0005451853997001</v>
      </c>
      <c r="C248" s="17">
        <f>('Q1'!X139-C$106)/C$107</f>
        <v>-1.1187387880926154</v>
      </c>
      <c r="D248" s="17">
        <f>('Q1'!Y139-D$106)/D$107</f>
        <v>-0.26919045949654513</v>
      </c>
      <c r="E248" s="17">
        <f>('Q1'!Z139-E$106)/E$107</f>
        <v>-0.70509038932559898</v>
      </c>
      <c r="F248" s="17">
        <f>('Q1'!AA139-F$106)/F$107</f>
        <v>-0.32775329341717219</v>
      </c>
      <c r="G248" s="17">
        <f>('Q1'!AB139-G$106)/G$107</f>
        <v>-0.14470601289822685</v>
      </c>
      <c r="H248" s="17">
        <f>('Q1'!AC139-H$106)/H$107</f>
        <v>-0.70388730435889202</v>
      </c>
      <c r="I248" s="17">
        <f>('Q1'!AD139-I$106)/I$107</f>
        <v>-0.79318864271409084</v>
      </c>
      <c r="J248" s="17">
        <f>('Q1'!AE139-J$106)/J$107</f>
        <v>-1.1515437775624391</v>
      </c>
      <c r="K248" s="17">
        <f>('Q1'!AF139-K$106)/K$107</f>
        <v>-1.1505919947376639</v>
      </c>
      <c r="L248" s="17">
        <f>('Q1'!AG139-L$106)/L$107</f>
        <v>-0.43562624446970727</v>
      </c>
      <c r="M248" s="17">
        <f>('Q1'!AH139-M$106)/M$107</f>
        <v>-0.22618156560527958</v>
      </c>
      <c r="N248" s="17">
        <f>('Q1'!AI139-N$106)/N$107</f>
        <v>-0.1693993350064929</v>
      </c>
      <c r="O248" s="17">
        <f>('Q1'!AJ139-O$106)/O$107</f>
        <v>-1.0229017690085496</v>
      </c>
      <c r="P248" s="17">
        <f>('Q1'!AK139-P$106)/P$107</f>
        <v>1.2435038582344993</v>
      </c>
      <c r="Q248" s="17">
        <f>('Q1'!AL139-Q$106)/Q$107</f>
        <v>0.51892608080269476</v>
      </c>
      <c r="R248" s="17">
        <f>('Q1'!AM139-R$106)/R$107</f>
        <v>0.52198753849179391</v>
      </c>
      <c r="S248" s="17">
        <f>('Q1'!AN139-S$106)/S$107</f>
        <v>0.7390699122327512</v>
      </c>
    </row>
    <row r="249" spans="2:19">
      <c r="B249" s="17">
        <f>('Q1'!W140-B$106)/B$107</f>
        <v>-1.9769467029729475</v>
      </c>
      <c r="C249" s="17">
        <f>('Q1'!X140-C$106)/C$107</f>
        <v>-1.5290187522259147</v>
      </c>
      <c r="D249" s="17">
        <f>('Q1'!Y140-D$106)/D$107</f>
        <v>-0.90272151225786823</v>
      </c>
      <c r="E249" s="17">
        <f>('Q1'!Z140-E$106)/E$107</f>
        <v>-1.6559690393709161</v>
      </c>
      <c r="F249" s="17">
        <f>('Q1'!AA140-F$106)/F$107</f>
        <v>-0.10034246963690766</v>
      </c>
      <c r="G249" s="17">
        <f>('Q1'!AB140-G$106)/G$107</f>
        <v>-0.8632016155538712</v>
      </c>
      <c r="H249" s="17">
        <f>('Q1'!AC140-H$106)/H$107</f>
        <v>0.17651647943476406</v>
      </c>
      <c r="I249" s="17">
        <f>('Q1'!AD140-I$106)/I$107</f>
        <v>0.71930499290211736</v>
      </c>
      <c r="J249" s="17">
        <f>('Q1'!AE140-J$106)/J$107</f>
        <v>-0.80179310370779611</v>
      </c>
      <c r="K249" s="17">
        <f>('Q1'!AF140-K$106)/K$107</f>
        <v>-0.29945575487966847</v>
      </c>
      <c r="L249" s="17">
        <f>('Q1'!AG140-L$106)/L$107</f>
        <v>-0.19170283872257107</v>
      </c>
      <c r="M249" s="17">
        <f>('Q1'!AH140-M$106)/M$107</f>
        <v>-0.53055148470829283</v>
      </c>
      <c r="N249" s="17">
        <f>('Q1'!AI140-N$106)/N$107</f>
        <v>-0.91184778206553219</v>
      </c>
      <c r="O249" s="17">
        <f>('Q1'!AJ140-O$106)/O$107</f>
        <v>-0.22475602922880641</v>
      </c>
      <c r="P249" s="17">
        <f>('Q1'!AK140-P$106)/P$107</f>
        <v>-0.36395470884405207</v>
      </c>
      <c r="Q249" s="17">
        <f>('Q1'!AL140-Q$106)/Q$107</f>
        <v>-0.42660701210518059</v>
      </c>
      <c r="R249" s="17">
        <f>('Q1'!AM140-R$106)/R$107</f>
        <v>-0.51360693529239443</v>
      </c>
      <c r="S249" s="17">
        <f>('Q1'!AN140-S$106)/S$107</f>
        <v>-0.85553199342287944</v>
      </c>
    </row>
    <row r="250" spans="2:19">
      <c r="B250" s="17">
        <f>('Q1'!W141-B$106)/B$107</f>
        <v>-1.0486849466789285</v>
      </c>
      <c r="C250" s="17">
        <f>('Q1'!X141-C$106)/C$107</f>
        <v>-2.3567185466466589</v>
      </c>
      <c r="D250" s="17">
        <f>('Q1'!Y141-D$106)/D$107</f>
        <v>-2.4619291497571689</v>
      </c>
      <c r="E250" s="17">
        <f>('Q1'!Z141-E$106)/E$107</f>
        <v>-1.5266697813624834</v>
      </c>
      <c r="F250" s="17">
        <f>('Q1'!AA141-F$106)/F$107</f>
        <v>-1.662866750368085</v>
      </c>
      <c r="G250" s="17">
        <f>('Q1'!AB141-G$106)/G$107</f>
        <v>3.6792291343252341E-2</v>
      </c>
      <c r="H250" s="17">
        <f>('Q1'!AC141-H$106)/H$107</f>
        <v>-2.6283348230824437</v>
      </c>
      <c r="I250" s="17">
        <f>('Q1'!AD141-I$106)/I$107</f>
        <v>-0.30356712937874097</v>
      </c>
      <c r="J250" s="17">
        <f>('Q1'!AE141-J$106)/J$107</f>
        <v>-2.5177408240520851</v>
      </c>
      <c r="K250" s="17">
        <f>('Q1'!AF141-K$106)/K$107</f>
        <v>-1.0278960251103593</v>
      </c>
      <c r="L250" s="17">
        <f>('Q1'!AG141-L$106)/L$107</f>
        <v>-1.1912380185435818</v>
      </c>
      <c r="M250" s="17">
        <f>('Q1'!AH141-M$106)/M$107</f>
        <v>-2.9515438696992757</v>
      </c>
      <c r="N250" s="17">
        <f>('Q1'!AI141-N$106)/N$107</f>
        <v>-0.98308545810688697</v>
      </c>
      <c r="O250" s="17">
        <f>('Q1'!AJ141-O$106)/O$107</f>
        <v>-1.6227164343964431</v>
      </c>
      <c r="P250" s="17">
        <f>('Q1'!AK141-P$106)/P$107</f>
        <v>-0.31559257058725598</v>
      </c>
      <c r="Q250" s="17">
        <f>('Q1'!AL141-Q$106)/Q$107</f>
        <v>-0.13412917892847936</v>
      </c>
      <c r="R250" s="17">
        <f>('Q1'!AM141-R$106)/R$107</f>
        <v>-0.8775290240685486</v>
      </c>
      <c r="S250" s="17">
        <f>('Q1'!AN141-S$106)/S$107</f>
        <v>0.20532157205987434</v>
      </c>
    </row>
    <row r="251" spans="2:19">
      <c r="B251" s="17">
        <f>('Q1'!W142-B$106)/B$107</f>
        <v>2.2233178593293128</v>
      </c>
      <c r="C251" s="17">
        <f>('Q1'!X142-C$106)/C$107</f>
        <v>0.95794991232074833</v>
      </c>
      <c r="D251" s="17">
        <f>('Q1'!Y142-D$106)/D$107</f>
        <v>1.6867900877941366</v>
      </c>
      <c r="E251" s="17">
        <f>('Q1'!Z142-E$106)/E$107</f>
        <v>1.9777588700379547</v>
      </c>
      <c r="F251" s="17">
        <f>('Q1'!AA142-F$106)/F$107</f>
        <v>0.67436886748800307</v>
      </c>
      <c r="G251" s="17">
        <f>('Q1'!AB142-G$106)/G$107</f>
        <v>1.2084025241641803</v>
      </c>
      <c r="H251" s="17">
        <f>('Q1'!AC142-H$106)/H$107</f>
        <v>2.038691577831433</v>
      </c>
      <c r="I251" s="17">
        <f>('Q1'!AD142-I$106)/I$107</f>
        <v>0.10345675141842506</v>
      </c>
      <c r="J251" s="17">
        <f>('Q1'!AE142-J$106)/J$107</f>
        <v>3.4376801571959312</v>
      </c>
      <c r="K251" s="17">
        <f>('Q1'!AF142-K$106)/K$107</f>
        <v>1.4090631353120489</v>
      </c>
      <c r="L251" s="17">
        <f>('Q1'!AG142-L$106)/L$107</f>
        <v>1.2936344915865874</v>
      </c>
      <c r="M251" s="17">
        <f>('Q1'!AH142-M$106)/M$107</f>
        <v>3.036050758524699</v>
      </c>
      <c r="N251" s="17">
        <f>('Q1'!AI142-N$106)/N$107</f>
        <v>0.77694078954713552</v>
      </c>
      <c r="O251" s="17">
        <f>('Q1'!AJ142-O$106)/O$107</f>
        <v>0.73910335640145497</v>
      </c>
      <c r="P251" s="17">
        <f>('Q1'!AK142-P$106)/P$107</f>
        <v>0.32325489268425289</v>
      </c>
      <c r="Q251" s="17">
        <f>('Q1'!AL142-Q$106)/Q$107</f>
        <v>-0.26881000047541997</v>
      </c>
      <c r="R251" s="17">
        <f>('Q1'!AM142-R$106)/R$107</f>
        <v>0.72227766322466946</v>
      </c>
      <c r="S251" s="17">
        <f>('Q1'!AN142-S$106)/S$107</f>
        <v>0.68029724929881485</v>
      </c>
    </row>
    <row r="252" spans="2:19">
      <c r="B252" s="17">
        <f>('Q1'!W143-B$106)/B$107</f>
        <v>-0.63077516403784906</v>
      </c>
      <c r="C252" s="17">
        <f>('Q1'!X143-C$106)/C$107</f>
        <v>-1.9357752851005399</v>
      </c>
      <c r="D252" s="17">
        <f>('Q1'!Y143-D$106)/D$107</f>
        <v>-1.3203723057650281</v>
      </c>
      <c r="E252" s="17">
        <f>('Q1'!Z143-E$106)/E$107</f>
        <v>-1.1419934630353576</v>
      </c>
      <c r="F252" s="17">
        <f>('Q1'!AA143-F$106)/F$107</f>
        <v>-0.13029785195356611</v>
      </c>
      <c r="G252" s="17">
        <f>('Q1'!AB143-G$106)/G$107</f>
        <v>0.38540063200860258</v>
      </c>
      <c r="H252" s="17">
        <f>('Q1'!AC143-H$106)/H$107</f>
        <v>0.35557501228311816</v>
      </c>
      <c r="I252" s="17">
        <f>('Q1'!AD143-I$106)/I$107</f>
        <v>0.1914605185085291</v>
      </c>
      <c r="J252" s="17">
        <f>('Q1'!AE143-J$106)/J$107</f>
        <v>0.17356171572608947</v>
      </c>
      <c r="K252" s="17">
        <f>('Q1'!AF143-K$106)/K$107</f>
        <v>0.62728683536991769</v>
      </c>
      <c r="L252" s="17">
        <f>('Q1'!AG143-L$106)/L$107</f>
        <v>-0.63981615755627996</v>
      </c>
      <c r="M252" s="17">
        <f>('Q1'!AH143-M$106)/M$107</f>
        <v>-0.51063477766163745</v>
      </c>
      <c r="N252" s="17">
        <f>('Q1'!AI143-N$106)/N$107</f>
        <v>-0.14110108802184457</v>
      </c>
      <c r="O252" s="17">
        <f>('Q1'!AJ143-O$106)/O$107</f>
        <v>-0.87759151468034646</v>
      </c>
      <c r="P252" s="17">
        <f>('Q1'!AK143-P$106)/P$107</f>
        <v>-0.7375629054078312</v>
      </c>
      <c r="Q252" s="17">
        <f>('Q1'!AL143-Q$106)/Q$107</f>
        <v>-0.94753315616673739</v>
      </c>
      <c r="R252" s="17">
        <f>('Q1'!AM143-R$106)/R$107</f>
        <v>-0.64120731410595522</v>
      </c>
      <c r="S252" s="17">
        <f>('Q1'!AN143-S$106)/S$107</f>
        <v>0.15811711926185387</v>
      </c>
    </row>
    <row r="253" spans="2:19">
      <c r="B253" s="17">
        <f>('Q1'!W144-B$106)/B$107</f>
        <v>-0.48932810615293437</v>
      </c>
      <c r="C253" s="17">
        <f>('Q1'!X144-C$106)/C$107</f>
        <v>0.12532873352852422</v>
      </c>
      <c r="D253" s="17">
        <f>('Q1'!Y144-D$106)/D$107</f>
        <v>0.73918678169231244</v>
      </c>
      <c r="E253" s="17">
        <f>('Q1'!Z144-E$106)/E$107</f>
        <v>-0.38724740693097359</v>
      </c>
      <c r="F253" s="17">
        <f>('Q1'!AA144-F$106)/F$107</f>
        <v>-1.0983344289001693</v>
      </c>
      <c r="G253" s="17">
        <f>('Q1'!AB144-G$106)/G$107</f>
        <v>-0.11058853623276831</v>
      </c>
      <c r="H253" s="17">
        <f>('Q1'!AC144-H$106)/H$107</f>
        <v>-0.47329341856042356</v>
      </c>
      <c r="I253" s="17">
        <f>('Q1'!AD144-I$106)/I$107</f>
        <v>0.50356956205318459</v>
      </c>
      <c r="J253" s="17">
        <f>('Q1'!AE144-J$106)/J$107</f>
        <v>0.35333786446797866</v>
      </c>
      <c r="K253" s="17">
        <f>('Q1'!AF144-K$106)/K$107</f>
        <v>1.4043095114027826</v>
      </c>
      <c r="L253" s="17">
        <f>('Q1'!AG144-L$106)/L$107</f>
        <v>-0.3193498286869168</v>
      </c>
      <c r="M253" s="17">
        <f>('Q1'!AH144-M$106)/M$107</f>
        <v>0.54926082663081544</v>
      </c>
      <c r="N253" s="17">
        <f>('Q1'!AI144-N$106)/N$107</f>
        <v>0.73732684303949858</v>
      </c>
      <c r="O253" s="17">
        <f>('Q1'!AJ144-O$106)/O$107</f>
        <v>0.65076393440212377</v>
      </c>
      <c r="P253" s="17">
        <f>('Q1'!AK144-P$106)/P$107</f>
        <v>0.30635541893775969</v>
      </c>
      <c r="Q253" s="17">
        <f>('Q1'!AL144-Q$106)/Q$107</f>
        <v>-0.95074459145817425</v>
      </c>
      <c r="R253" s="17">
        <f>('Q1'!AM144-R$106)/R$107</f>
        <v>0.13105081196747834</v>
      </c>
      <c r="S253" s="17">
        <f>('Q1'!AN144-S$106)/S$107</f>
        <v>-0.34563288953610566</v>
      </c>
    </row>
    <row r="254" spans="2:19">
      <c r="B254" s="17">
        <f>('Q1'!W145-B$106)/B$107</f>
        <v>1.8293421062532105</v>
      </c>
      <c r="C254" s="17">
        <f>('Q1'!X145-C$106)/C$107</f>
        <v>2.4645733392162827</v>
      </c>
      <c r="D254" s="17">
        <f>('Q1'!Y145-D$106)/D$107</f>
        <v>1.306881026259014</v>
      </c>
      <c r="E254" s="17">
        <f>('Q1'!Z145-E$106)/E$107</f>
        <v>1.4158435376465199</v>
      </c>
      <c r="F254" s="17">
        <f>('Q1'!AA145-F$106)/F$107</f>
        <v>0.68778970757046909</v>
      </c>
      <c r="G254" s="17">
        <f>('Q1'!AB145-G$106)/G$107</f>
        <v>0.31680565554653223</v>
      </c>
      <c r="H254" s="17">
        <f>('Q1'!AC145-H$106)/H$107</f>
        <v>1.2741556799913945</v>
      </c>
      <c r="I254" s="17">
        <f>('Q1'!AD145-I$106)/I$107</f>
        <v>-1.232143852792255</v>
      </c>
      <c r="J254" s="17">
        <f>('Q1'!AE145-J$106)/J$107</f>
        <v>0.33247146026685082</v>
      </c>
      <c r="K254" s="17">
        <f>('Q1'!AF145-K$106)/K$107</f>
        <v>-0.25094489223044342</v>
      </c>
      <c r="L254" s="17">
        <f>('Q1'!AG145-L$106)/L$107</f>
        <v>0.57938302230362393</v>
      </c>
      <c r="M254" s="17">
        <f>('Q1'!AH145-M$106)/M$107</f>
        <v>-0.42701501968600153</v>
      </c>
      <c r="N254" s="17">
        <f>('Q1'!AI145-N$106)/N$107</f>
        <v>0.60400211904130774</v>
      </c>
      <c r="O254" s="17">
        <f>('Q1'!AJ145-O$106)/O$107</f>
        <v>0.29740296855217679</v>
      </c>
      <c r="P254" s="17">
        <f>('Q1'!AK145-P$106)/P$107</f>
        <v>0.91636901684084526</v>
      </c>
      <c r="Q254" s="17">
        <f>('Q1'!AL145-Q$106)/Q$107</f>
        <v>0.79344800156785888</v>
      </c>
      <c r="R254" s="17">
        <f>('Q1'!AM145-R$106)/R$107</f>
        <v>1.5654302320975977</v>
      </c>
      <c r="S254" s="17">
        <f>('Q1'!AN145-S$106)/S$107</f>
        <v>0.56363290310136127</v>
      </c>
    </row>
    <row r="255" spans="2:19">
      <c r="B255" s="17">
        <f>('Q1'!W146-B$106)/B$107</f>
        <v>1.1701987126590307</v>
      </c>
      <c r="C255" s="17">
        <f>('Q1'!X146-C$106)/C$107</f>
        <v>0.97424568926791555</v>
      </c>
      <c r="D255" s="17">
        <f>('Q1'!Y146-D$106)/D$107</f>
        <v>0.57382065645185909</v>
      </c>
      <c r="E255" s="17">
        <f>('Q1'!Z146-E$106)/E$107</f>
        <v>0.70291602604172343</v>
      </c>
      <c r="F255" s="17">
        <f>('Q1'!AA146-F$106)/F$107</f>
        <v>0.12173014844980484</v>
      </c>
      <c r="G255" s="17">
        <f>('Q1'!AB146-G$106)/G$107</f>
        <v>0.9163647520307675</v>
      </c>
      <c r="H255" s="17">
        <f>('Q1'!AC146-H$106)/H$107</f>
        <v>-0.63639074527809791</v>
      </c>
      <c r="I255" s="17">
        <f>('Q1'!AD146-I$106)/I$107</f>
        <v>1.4501552929472932</v>
      </c>
      <c r="J255" s="17">
        <f>('Q1'!AE146-J$106)/J$107</f>
        <v>0.99749941205210324</v>
      </c>
      <c r="K255" s="17">
        <f>('Q1'!AF146-K$106)/K$107</f>
        <v>-0.27616460646009633</v>
      </c>
      <c r="L255" s="17">
        <f>('Q1'!AG146-L$106)/L$107</f>
        <v>0.53307186401825035</v>
      </c>
      <c r="M255" s="17">
        <f>('Q1'!AH146-M$106)/M$107</f>
        <v>-1.2158490917131108</v>
      </c>
      <c r="N255" s="17">
        <f>('Q1'!AI146-N$106)/N$107</f>
        <v>0.74072282957595681</v>
      </c>
      <c r="O255" s="17">
        <f>('Q1'!AJ146-O$106)/O$107</f>
        <v>0.81996204120117711</v>
      </c>
      <c r="P255" s="17">
        <f>('Q1'!AK146-P$106)/P$107</f>
        <v>1.46980504316417</v>
      </c>
      <c r="Q255" s="17">
        <f>('Q1'!AL146-Q$106)/Q$107</f>
        <v>-0.76357725139526389</v>
      </c>
      <c r="R255" s="17">
        <f>('Q1'!AM146-R$106)/R$107</f>
        <v>0.78377360388720763</v>
      </c>
      <c r="S255" s="17">
        <f>('Q1'!AN146-S$106)/S$107</f>
        <v>0.20248603714561514</v>
      </c>
    </row>
    <row r="256" spans="2:19">
      <c r="B256" s="17">
        <f>('Q1'!W147-B$106)/B$107</f>
        <v>-0.19025246453854883</v>
      </c>
      <c r="C256" s="17">
        <f>('Q1'!X147-C$106)/C$107</f>
        <v>1.738793349630815</v>
      </c>
      <c r="D256" s="17">
        <f>('Q1'!Y147-D$106)/D$107</f>
        <v>1.8954831995860117</v>
      </c>
      <c r="E256" s="17">
        <f>('Q1'!Z147-E$106)/E$107</f>
        <v>0.81160734750826335</v>
      </c>
      <c r="F256" s="17">
        <f>('Q1'!AA147-F$106)/F$107</f>
        <v>2.6921566735562622E-2</v>
      </c>
      <c r="G256" s="17">
        <f>('Q1'!AB147-G$106)/G$107</f>
        <v>0.28708938996129113</v>
      </c>
      <c r="H256" s="17">
        <f>('Q1'!AC147-H$106)/H$107</f>
        <v>-0.47941761899223762</v>
      </c>
      <c r="I256" s="17">
        <f>('Q1'!AD147-I$106)/I$107</f>
        <v>-0.2683555146326207</v>
      </c>
      <c r="J256" s="17">
        <f>('Q1'!AE147-J$106)/J$107</f>
        <v>-9.477714258081861E-2</v>
      </c>
      <c r="K256" s="17">
        <f>('Q1'!AF147-K$106)/K$107</f>
        <v>1.3050188061412253</v>
      </c>
      <c r="L256" s="17">
        <f>('Q1'!AG147-L$106)/L$107</f>
        <v>0.92309351630916381</v>
      </c>
      <c r="M256" s="17">
        <f>('Q1'!AH147-M$106)/M$107</f>
        <v>0.23593081299886989</v>
      </c>
      <c r="N256" s="17">
        <f>('Q1'!AI147-N$106)/N$107</f>
        <v>1.0346224688293095</v>
      </c>
      <c r="O256" s="17">
        <f>('Q1'!AJ147-O$106)/O$107</f>
        <v>0.46143811184905881</v>
      </c>
      <c r="P256" s="17">
        <f>('Q1'!AK147-P$106)/P$107</f>
        <v>0.71898423904058495</v>
      </c>
      <c r="Q256" s="17">
        <f>('Q1'!AL147-Q$106)/Q$107</f>
        <v>0.82249581626554569</v>
      </c>
      <c r="R256" s="17">
        <f>('Q1'!AM147-R$106)/R$107</f>
        <v>0.1382455028906191</v>
      </c>
      <c r="S256" s="17">
        <f>('Q1'!AN147-S$106)/S$107</f>
        <v>0.80412786295650329</v>
      </c>
    </row>
    <row r="257" spans="2:19">
      <c r="B257" s="17">
        <f>('Q1'!W148-B$106)/B$107</f>
        <v>-0.55957143371351969</v>
      </c>
      <c r="C257" s="17">
        <f>('Q1'!X148-C$106)/C$107</f>
        <v>-1.4743263129093302</v>
      </c>
      <c r="D257" s="17">
        <f>('Q1'!Y148-D$106)/D$107</f>
        <v>-0.89688726921124728</v>
      </c>
      <c r="E257" s="17">
        <f>('Q1'!Z148-E$106)/E$107</f>
        <v>-0.84927032296652549</v>
      </c>
      <c r="F257" s="17">
        <f>('Q1'!AA148-F$106)/F$107</f>
        <v>-0.18115018820231948</v>
      </c>
      <c r="G257" s="17">
        <f>('Q1'!AB148-G$106)/G$107</f>
        <v>0.21970884134277247</v>
      </c>
      <c r="H257" s="17">
        <f>('Q1'!AC148-H$106)/H$107</f>
        <v>0.10762264441282265</v>
      </c>
      <c r="I257" s="17">
        <f>('Q1'!AD148-I$106)/I$107</f>
        <v>-1.1947976064073669</v>
      </c>
      <c r="J257" s="17">
        <f>('Q1'!AE148-J$106)/J$107</f>
        <v>-0.64312987911234887</v>
      </c>
      <c r="K257" s="17">
        <f>('Q1'!AF148-K$106)/K$107</f>
        <v>0.11471499829318521</v>
      </c>
      <c r="L257" s="17">
        <f>('Q1'!AG148-L$106)/L$107</f>
        <v>0.33164429915429772</v>
      </c>
      <c r="M257" s="17">
        <f>('Q1'!AH148-M$106)/M$107</f>
        <v>-0.77027812609466539</v>
      </c>
      <c r="N257" s="17">
        <f>('Q1'!AI148-N$106)/N$107</f>
        <v>-0.33731241703363335</v>
      </c>
      <c r="O257" s="17">
        <f>('Q1'!AJ148-O$106)/O$107</f>
        <v>-0.24118032599857728</v>
      </c>
      <c r="P257" s="17">
        <f>('Q1'!AK148-P$106)/P$107</f>
        <v>-0.46795114625075451</v>
      </c>
      <c r="Q257" s="17">
        <f>('Q1'!AL148-Q$106)/Q$107</f>
        <v>0.96426628772672185</v>
      </c>
      <c r="R257" s="17">
        <f>('Q1'!AM148-R$106)/R$107</f>
        <v>-0.24227994013259474</v>
      </c>
      <c r="S257" s="17">
        <f>('Q1'!AN148-S$106)/S$107</f>
        <v>-0.20023951558508854</v>
      </c>
    </row>
    <row r="258" spans="2:19">
      <c r="B258" s="17">
        <f>('Q1'!W149-B$106)/B$107</f>
        <v>-1.9046436594757563</v>
      </c>
      <c r="C258" s="17">
        <f>('Q1'!X149-C$106)/C$107</f>
        <v>-0.94137392662134711</v>
      </c>
      <c r="D258" s="17">
        <f>('Q1'!Y149-D$106)/D$107</f>
        <v>-2.7632941320297211</v>
      </c>
      <c r="E258" s="17">
        <f>('Q1'!Z149-E$106)/E$107</f>
        <v>-1.7222093840686628</v>
      </c>
      <c r="F258" s="17">
        <f>('Q1'!AA149-F$106)/F$107</f>
        <v>-1.4468986548282399</v>
      </c>
      <c r="G258" s="17">
        <f>('Q1'!AB149-G$106)/G$107</f>
        <v>-0.63906782753536018</v>
      </c>
      <c r="H258" s="17">
        <f>('Q1'!AC149-H$106)/H$107</f>
        <v>-1.4359910523230541</v>
      </c>
      <c r="I258" s="17">
        <f>('Q1'!AD149-I$106)/I$107</f>
        <v>-0.40361203781480359</v>
      </c>
      <c r="J258" s="17">
        <f>('Q1'!AE149-J$106)/J$107</f>
        <v>-1.2378465610168252</v>
      </c>
      <c r="K258" s="17">
        <f>('Q1'!AF149-K$106)/K$107</f>
        <v>-0.81092491990195703</v>
      </c>
      <c r="L258" s="17">
        <f>('Q1'!AG149-L$106)/L$107</f>
        <v>-0.88944937782093525</v>
      </c>
      <c r="M258" s="17">
        <f>('Q1'!AH149-M$106)/M$107</f>
        <v>0.47028779641502833</v>
      </c>
      <c r="N258" s="17">
        <f>('Q1'!AI149-N$106)/N$107</f>
        <v>-0.61209044616507524</v>
      </c>
      <c r="O258" s="17">
        <f>('Q1'!AJ149-O$106)/O$107</f>
        <v>-1.4427340322500743</v>
      </c>
      <c r="P258" s="17">
        <f>('Q1'!AK149-P$106)/P$107</f>
        <v>-0.32989393766636754</v>
      </c>
      <c r="Q258" s="17">
        <f>('Q1'!AL149-Q$106)/Q$107</f>
        <v>-0.81072321452919371</v>
      </c>
      <c r="R258" s="17">
        <f>('Q1'!AM149-R$106)/R$107</f>
        <v>-1.2516722568083793</v>
      </c>
      <c r="S258" s="17">
        <f>('Q1'!AN149-S$106)/S$107</f>
        <v>-1.0475995973766039</v>
      </c>
    </row>
    <row r="259" spans="2:19">
      <c r="B259" s="17">
        <f>('Q1'!W150-B$106)/B$107</f>
        <v>-0.58937886898003877</v>
      </c>
      <c r="C259" s="17">
        <f>('Q1'!X150-C$106)/C$107</f>
        <v>0.94355719230408974</v>
      </c>
      <c r="D259" s="17">
        <f>('Q1'!Y150-D$106)/D$107</f>
        <v>0.78876739937629914</v>
      </c>
      <c r="E259" s="17">
        <f>('Q1'!Z150-E$106)/E$107</f>
        <v>0.27017438963750606</v>
      </c>
      <c r="F259" s="17">
        <f>('Q1'!AA150-F$106)/F$107</f>
        <v>0.33058989847108539</v>
      </c>
      <c r="G259" s="17">
        <f>('Q1'!AB150-G$106)/G$107</f>
        <v>-0.8327669440741472</v>
      </c>
      <c r="H259" s="17">
        <f>('Q1'!AC150-H$106)/H$107</f>
        <v>0.97163043056623721</v>
      </c>
      <c r="I259" s="17">
        <f>('Q1'!AD150-I$106)/I$107</f>
        <v>-0.47770448761579798</v>
      </c>
      <c r="J259" s="17">
        <f>('Q1'!AE150-J$106)/J$107</f>
        <v>-0.45725735423265357</v>
      </c>
      <c r="K259" s="17">
        <f>('Q1'!AF150-K$106)/K$107</f>
        <v>0.95834992360876459</v>
      </c>
      <c r="L259" s="17">
        <f>('Q1'!AG150-L$106)/L$107</f>
        <v>0.35397324731050744</v>
      </c>
      <c r="M259" s="17">
        <f>('Q1'!AH150-M$106)/M$107</f>
        <v>1.6558250554848672</v>
      </c>
      <c r="N259" s="17">
        <f>('Q1'!AI150-N$106)/N$107</f>
        <v>0.48678136667797689</v>
      </c>
      <c r="O259" s="17">
        <f>('Q1'!AJ150-O$106)/O$107</f>
        <v>0.20183397994917029</v>
      </c>
      <c r="P259" s="17">
        <f>('Q1'!AK150-P$106)/P$107</f>
        <v>-0.13496292125029355</v>
      </c>
      <c r="Q259" s="17">
        <f>('Q1'!AL150-Q$106)/Q$107</f>
        <v>0.39654979963655757</v>
      </c>
      <c r="R259" s="17">
        <f>('Q1'!AM150-R$106)/R$107</f>
        <v>0.53435505827993512</v>
      </c>
      <c r="S259" s="17">
        <f>('Q1'!AN150-S$106)/S$107</f>
        <v>0.15656023822590356</v>
      </c>
    </row>
    <row r="260" spans="2:19">
      <c r="B260" s="17">
        <f>('Q1'!W151-B$106)/B$107</f>
        <v>6.0657008964789816E-2</v>
      </c>
      <c r="C260" s="17">
        <f>('Q1'!X151-C$106)/C$107</f>
        <v>-1.0226822259606028</v>
      </c>
      <c r="D260" s="17">
        <f>('Q1'!Y151-D$106)/D$107</f>
        <v>-3.9153241647903694E-2</v>
      </c>
      <c r="E260" s="17">
        <f>('Q1'!Z151-E$106)/E$107</f>
        <v>-0.11198044912237924</v>
      </c>
      <c r="F260" s="17">
        <f>('Q1'!AA151-F$106)/F$107</f>
        <v>0.33413282955856355</v>
      </c>
      <c r="G260" s="17">
        <f>('Q1'!AB151-G$106)/G$107</f>
        <v>0.30820660800412425</v>
      </c>
      <c r="H260" s="17">
        <f>('Q1'!AC151-H$106)/H$107</f>
        <v>-0.72058685993257099</v>
      </c>
      <c r="I260" s="17">
        <f>('Q1'!AD151-I$106)/I$107</f>
        <v>0.90861766951518008</v>
      </c>
      <c r="J260" s="17">
        <f>('Q1'!AE151-J$106)/J$107</f>
        <v>0.42576701593338845</v>
      </c>
      <c r="K260" s="17">
        <f>('Q1'!AF151-K$106)/K$107</f>
        <v>0.6795251975669272</v>
      </c>
      <c r="L260" s="17">
        <f>('Q1'!AG151-L$106)/L$107</f>
        <v>-0.21381600247391319</v>
      </c>
      <c r="M260" s="17">
        <f>('Q1'!AH151-M$106)/M$107</f>
        <v>-0.1301372350731104</v>
      </c>
      <c r="N260" s="17">
        <f>('Q1'!AI151-N$106)/N$107</f>
        <v>1.5571601693422629E-2</v>
      </c>
      <c r="O260" s="17">
        <f>('Q1'!AJ151-O$106)/O$107</f>
        <v>-8.9412751413997155E-2</v>
      </c>
      <c r="P260" s="17">
        <f>('Q1'!AK151-P$106)/P$107</f>
        <v>0.18126698842248365</v>
      </c>
      <c r="Q260" s="17">
        <f>('Q1'!AL151-Q$106)/Q$107</f>
        <v>-9.6779728592742904E-4</v>
      </c>
      <c r="R260" s="17">
        <f>('Q1'!AM151-R$106)/R$107</f>
        <v>-0.60608906178147193</v>
      </c>
      <c r="S260" s="17">
        <f>('Q1'!AN151-S$106)/S$107</f>
        <v>-6.7198800878639484E-2</v>
      </c>
    </row>
    <row r="261" spans="2:19">
      <c r="B261" s="17">
        <f>('Q1'!W152-B$106)/B$107</f>
        <v>0.85088191209565867</v>
      </c>
      <c r="C261" s="17">
        <f>('Q1'!X152-C$106)/C$107</f>
        <v>0.70929075741401415</v>
      </c>
      <c r="D261" s="17">
        <f>('Q1'!Y152-D$106)/D$107</f>
        <v>0.34625860663950958</v>
      </c>
      <c r="E261" s="17">
        <f>('Q1'!Z152-E$106)/E$107</f>
        <v>0.79280690883752269</v>
      </c>
      <c r="F261" s="17">
        <f>('Q1'!AA152-F$106)/F$107</f>
        <v>0.32400883503623584</v>
      </c>
      <c r="G261" s="17">
        <f>('Q1'!AB152-G$106)/G$107</f>
        <v>0.89827091371882295</v>
      </c>
      <c r="H261" s="17">
        <f>('Q1'!AC152-H$106)/H$107</f>
        <v>-0.45242331598427449</v>
      </c>
      <c r="I261" s="17">
        <f>('Q1'!AD152-I$106)/I$107</f>
        <v>0.83725627280277282</v>
      </c>
      <c r="J261" s="17">
        <f>('Q1'!AE152-J$106)/J$107</f>
        <v>-0.31594873125015666</v>
      </c>
      <c r="K261" s="17">
        <f>('Q1'!AF152-K$106)/K$107</f>
        <v>-0.19140928558658221</v>
      </c>
      <c r="L261" s="17">
        <f>('Q1'!AG152-L$106)/L$107</f>
        <v>3.2799055404702092E-2</v>
      </c>
      <c r="M261" s="17">
        <f>('Q1'!AH152-M$106)/M$107</f>
        <v>1.7840304310170019</v>
      </c>
      <c r="N261" s="17">
        <f>('Q1'!AI152-N$106)/N$107</f>
        <v>-3.9381971695528262E-2</v>
      </c>
      <c r="O261" s="17">
        <f>('Q1'!AJ152-O$106)/O$107</f>
        <v>0.59828416606462442</v>
      </c>
      <c r="P261" s="17">
        <f>('Q1'!AK152-P$106)/P$107</f>
        <v>0.57353645332415915</v>
      </c>
      <c r="Q261" s="17">
        <f>('Q1'!AL152-Q$106)/Q$107</f>
        <v>0.33124304295916041</v>
      </c>
      <c r="R261" s="17">
        <f>('Q1'!AM152-R$106)/R$107</f>
        <v>0.42175524624009092</v>
      </c>
      <c r="S261" s="17">
        <f>('Q1'!AN152-S$106)/S$107</f>
        <v>-0.17579123984872494</v>
      </c>
    </row>
    <row r="262" spans="2:19">
      <c r="B262" s="17">
        <f>('Q1'!W153-B$106)/B$107</f>
        <v>1.5690683278497002</v>
      </c>
      <c r="C262" s="17">
        <f>('Q1'!X153-C$106)/C$107</f>
        <v>0.85940731824749472</v>
      </c>
      <c r="D262" s="17">
        <f>('Q1'!Y153-D$106)/D$107</f>
        <v>0.93134991907920539</v>
      </c>
      <c r="E262" s="17">
        <f>('Q1'!Z153-E$106)/E$107</f>
        <v>0.84973540593415897</v>
      </c>
      <c r="F262" s="17">
        <f>('Q1'!AA153-F$106)/F$107</f>
        <v>-3.8209769070867004E-2</v>
      </c>
      <c r="G262" s="17">
        <f>('Q1'!AB153-G$106)/G$107</f>
        <v>-0.5948427793775104</v>
      </c>
      <c r="H262" s="17">
        <f>('Q1'!AC153-H$106)/H$107</f>
        <v>1.0109191653155458</v>
      </c>
      <c r="I262" s="17">
        <f>('Q1'!AD153-I$106)/I$107</f>
        <v>0.48691758806767965</v>
      </c>
      <c r="J262" s="17">
        <f>('Q1'!AE153-J$106)/J$107</f>
        <v>1.7652574562643211</v>
      </c>
      <c r="K262" s="17">
        <f>('Q1'!AF153-K$106)/K$107</f>
        <v>0.77691408034406773</v>
      </c>
      <c r="L262" s="17">
        <f>('Q1'!AG153-L$106)/L$107</f>
        <v>-0.39240440613040439</v>
      </c>
      <c r="M262" s="17">
        <f>('Q1'!AH153-M$106)/M$107</f>
        <v>0.55135873597631502</v>
      </c>
      <c r="N262" s="17">
        <f>('Q1'!AI153-N$106)/N$107</f>
        <v>0.13908899941436215</v>
      </c>
      <c r="O262" s="17">
        <f>('Q1'!AJ153-O$106)/O$107</f>
        <v>0.10625593763657652</v>
      </c>
      <c r="P262" s="17">
        <f>('Q1'!AK153-P$106)/P$107</f>
        <v>-0.1688862278807117</v>
      </c>
      <c r="Q262" s="17">
        <f>('Q1'!AL153-Q$106)/Q$107</f>
        <v>2.0075407271751836E-2</v>
      </c>
      <c r="R262" s="17">
        <f>('Q1'!AM153-R$106)/R$107</f>
        <v>-0.49863122793046832</v>
      </c>
      <c r="S262" s="17">
        <f>('Q1'!AN153-S$106)/S$107</f>
        <v>0.86655258217049858</v>
      </c>
    </row>
    <row r="263" spans="2:19">
      <c r="B263" s="17">
        <f>('Q1'!W154-B$106)/B$107</f>
        <v>0.48922639018509767</v>
      </c>
      <c r="C263" s="17">
        <f>('Q1'!X154-C$106)/C$107</f>
        <v>0.42182301278302398</v>
      </c>
      <c r="D263" s="17">
        <f>('Q1'!Y154-D$106)/D$107</f>
        <v>0.22107776123712808</v>
      </c>
      <c r="E263" s="17">
        <f>('Q1'!Z154-E$106)/E$107</f>
        <v>1.2019959243680891</v>
      </c>
      <c r="F263" s="17">
        <f>('Q1'!AA154-F$106)/F$107</f>
        <v>-0.14998103719296843</v>
      </c>
      <c r="G263" s="17">
        <f>('Q1'!AB154-G$106)/G$107</f>
        <v>5.9278204608658173E-2</v>
      </c>
      <c r="H263" s="17">
        <f>('Q1'!AC154-H$106)/H$107</f>
        <v>0.32814324205710771</v>
      </c>
      <c r="I263" s="17">
        <f>('Q1'!AD154-I$106)/I$107</f>
        <v>-0.18303917267699041</v>
      </c>
      <c r="J263" s="17">
        <f>('Q1'!AE154-J$106)/J$107</f>
        <v>-1.1181664767688382</v>
      </c>
      <c r="K263" s="17">
        <f>('Q1'!AF154-K$106)/K$107</f>
        <v>-5.437750935568525E-2</v>
      </c>
      <c r="L263" s="17">
        <f>('Q1'!AG154-L$106)/L$107</f>
        <v>-0.29210814895495701</v>
      </c>
      <c r="M263" s="17">
        <f>('Q1'!AH154-M$106)/M$107</f>
        <v>-1.6784062286225481</v>
      </c>
      <c r="N263" s="17">
        <f>('Q1'!AI154-N$106)/N$107</f>
        <v>-0.41113728991179882</v>
      </c>
      <c r="O263" s="17">
        <f>('Q1'!AJ154-O$106)/O$107</f>
        <v>-0.50652752826885916</v>
      </c>
      <c r="P263" s="17">
        <f>('Q1'!AK154-P$106)/P$107</f>
        <v>-1.206146609134467</v>
      </c>
      <c r="Q263" s="17">
        <f>('Q1'!AL154-Q$106)/Q$107</f>
        <v>-0.82929408110600589</v>
      </c>
      <c r="R263" s="17">
        <f>('Q1'!AM154-R$106)/R$107</f>
        <v>-0.6607229124605225</v>
      </c>
      <c r="S263" s="17">
        <f>('Q1'!AN154-S$106)/S$107</f>
        <v>-0.96146067958635995</v>
      </c>
    </row>
    <row r="264" spans="2:19">
      <c r="B264" s="17">
        <f>('Q1'!W155-B$106)/B$107</f>
        <v>0.49824901163441526</v>
      </c>
      <c r="C264" s="17">
        <f>('Q1'!X155-C$106)/C$107</f>
        <v>0.43203176547225219</v>
      </c>
      <c r="D264" s="17">
        <f>('Q1'!Y155-D$106)/D$107</f>
        <v>-0.21202495008459227</v>
      </c>
      <c r="E264" s="17">
        <f>('Q1'!Z155-E$106)/E$107</f>
        <v>-0.67218843103819614</v>
      </c>
      <c r="F264" s="17">
        <f>('Q1'!AA155-F$106)/F$107</f>
        <v>0.22497648440132334</v>
      </c>
      <c r="G264" s="17">
        <f>('Q1'!AB155-G$106)/G$107</f>
        <v>5.4661383579288292E-2</v>
      </c>
      <c r="H264" s="17">
        <f>('Q1'!AC155-H$106)/H$107</f>
        <v>-0.37951894808598763</v>
      </c>
      <c r="I264" s="17">
        <f>('Q1'!AD155-I$106)/I$107</f>
        <v>0.18186280771727692</v>
      </c>
      <c r="J264" s="17">
        <f>('Q1'!AE155-J$106)/J$107</f>
        <v>0.32650628929947523</v>
      </c>
      <c r="K264" s="17">
        <f>('Q1'!AF155-K$106)/K$107</f>
        <v>3.1991415675852404E-2</v>
      </c>
      <c r="L264" s="17">
        <f>('Q1'!AG155-L$106)/L$107</f>
        <v>-9.3597345737422261E-2</v>
      </c>
      <c r="M264" s="17">
        <f>('Q1'!AH155-M$106)/M$107</f>
        <v>-0.15151745015567214</v>
      </c>
      <c r="N264" s="17">
        <f>('Q1'!AI155-N$106)/N$107</f>
        <v>-0.36119324249002632</v>
      </c>
      <c r="O264" s="17">
        <f>('Q1'!AJ155-O$106)/O$107</f>
        <v>0.30034595041552214</v>
      </c>
      <c r="P264" s="17">
        <f>('Q1'!AK155-P$106)/P$107</f>
        <v>-0.38562319615016211</v>
      </c>
      <c r="Q264" s="17">
        <f>('Q1'!AL155-Q$106)/Q$107</f>
        <v>0.47279575255008754</v>
      </c>
      <c r="R264" s="17">
        <f>('Q1'!AM155-R$106)/R$107</f>
        <v>-0.9884507001884153</v>
      </c>
      <c r="S264" s="17">
        <f>('Q1'!AN155-S$106)/S$107</f>
        <v>-0.414365672303739</v>
      </c>
    </row>
    <row r="265" spans="2:19">
      <c r="B265" s="17">
        <f>('Q1'!W156-B$106)/B$107</f>
        <v>0.74238404680131764</v>
      </c>
      <c r="C265" s="17">
        <f>('Q1'!X156-C$106)/C$107</f>
        <v>1.5146568028851313</v>
      </c>
      <c r="D265" s="17">
        <f>('Q1'!Y156-D$106)/D$107</f>
        <v>0.70067687219039509</v>
      </c>
      <c r="E265" s="17">
        <f>('Q1'!Z156-E$106)/E$107</f>
        <v>1.2185382545645458</v>
      </c>
      <c r="F265" s="17">
        <f>('Q1'!AA156-F$106)/F$107</f>
        <v>0.13101526946900047</v>
      </c>
      <c r="G265" s="17">
        <f>('Q1'!AB156-G$106)/G$107</f>
        <v>-9.9189188526444746E-3</v>
      </c>
      <c r="H265" s="17">
        <f>('Q1'!AC156-H$106)/H$107</f>
        <v>0.16160574120084814</v>
      </c>
      <c r="I265" s="17">
        <f>('Q1'!AD156-I$106)/I$107</f>
        <v>-0.69596683244971025</v>
      </c>
      <c r="J265" s="17">
        <f>('Q1'!AE156-J$106)/J$107</f>
        <v>0.21975671617104992</v>
      </c>
      <c r="K265" s="17">
        <f>('Q1'!AF156-K$106)/K$107</f>
        <v>0.12074274387123264</v>
      </c>
      <c r="L265" s="17">
        <f>('Q1'!AG156-L$106)/L$107</f>
        <v>0.19473690781367928</v>
      </c>
      <c r="M265" s="17">
        <f>('Q1'!AH156-M$106)/M$107</f>
        <v>0.44942467812233883</v>
      </c>
      <c r="N265" s="17">
        <f>('Q1'!AI156-N$106)/N$107</f>
        <v>0.39005932759502854</v>
      </c>
      <c r="O265" s="17">
        <f>('Q1'!AJ156-O$106)/O$107</f>
        <v>6.5458637467102732E-2</v>
      </c>
      <c r="P265" s="17">
        <f>('Q1'!AK156-P$106)/P$107</f>
        <v>-1.0161469748554688</v>
      </c>
      <c r="Q265" s="17">
        <f>('Q1'!AL156-Q$106)/Q$107</f>
        <v>-0.2070608318624888</v>
      </c>
      <c r="R265" s="17">
        <f>('Q1'!AM156-R$106)/R$107</f>
        <v>-4.5233107428632787E-3</v>
      </c>
      <c r="S265" s="17">
        <f>('Q1'!AN156-S$106)/S$107</f>
        <v>7.3932127602034381E-2</v>
      </c>
    </row>
    <row r="266" spans="2:19">
      <c r="B266" s="17">
        <f>('Q1'!W157-B$106)/B$107</f>
        <v>0.80477976581809674</v>
      </c>
      <c r="C266" s="17">
        <f>('Q1'!X157-C$106)/C$107</f>
        <v>-0.30998666289116289</v>
      </c>
      <c r="D266" s="17">
        <f>('Q1'!Y157-D$106)/D$107</f>
        <v>0.69710066777104074</v>
      </c>
      <c r="E266" s="17">
        <f>('Q1'!Z157-E$106)/E$107</f>
        <v>0.54043455877085678</v>
      </c>
      <c r="F266" s="17">
        <f>('Q1'!AA157-F$106)/F$107</f>
        <v>0.27527717599675972</v>
      </c>
      <c r="G266" s="17">
        <f>('Q1'!AB157-G$106)/G$107</f>
        <v>6.4379068927810021E-2</v>
      </c>
      <c r="H266" s="17">
        <f>('Q1'!AC157-H$106)/H$107</f>
        <v>0.96508438038538658</v>
      </c>
      <c r="I266" s="17">
        <f>('Q1'!AD157-I$106)/I$107</f>
        <v>1.9594280599041949</v>
      </c>
      <c r="J266" s="17">
        <f>('Q1'!AE157-J$106)/J$107</f>
        <v>0.4250594400350004</v>
      </c>
      <c r="K266" s="17">
        <f>('Q1'!AF157-K$106)/K$107</f>
        <v>1.381853681596646</v>
      </c>
      <c r="L266" s="17">
        <f>('Q1'!AG157-L$106)/L$107</f>
        <v>0.13790103694885297</v>
      </c>
      <c r="M266" s="17">
        <f>('Q1'!AH157-M$106)/M$107</f>
        <v>0.31896251264750808</v>
      </c>
      <c r="N266" s="17">
        <f>('Q1'!AI157-N$106)/N$107</f>
        <v>0.11145200302167302</v>
      </c>
      <c r="O266" s="17">
        <f>('Q1'!AJ157-O$106)/O$107</f>
        <v>-0.29219612763093455</v>
      </c>
      <c r="P266" s="17">
        <f>('Q1'!AK157-P$106)/P$107</f>
        <v>-1.5361235158774593</v>
      </c>
      <c r="Q266" s="17">
        <f>('Q1'!AL157-Q$106)/Q$107</f>
        <v>0.2855092655108486</v>
      </c>
      <c r="R266" s="17">
        <f>('Q1'!AM157-R$106)/R$107</f>
        <v>0.19599140231938261</v>
      </c>
      <c r="S266" s="17">
        <f>('Q1'!AN157-S$106)/S$107</f>
        <v>0.74046045130364879</v>
      </c>
    </row>
    <row r="267" spans="2:19">
      <c r="B267" s="17">
        <f>('Q1'!W158-B$106)/B$107</f>
        <v>-0.32798272042529347</v>
      </c>
      <c r="C267" s="17">
        <f>('Q1'!X158-C$106)/C$107</f>
        <v>-0.16469810561661513</v>
      </c>
      <c r="D267" s="17">
        <f>('Q1'!Y158-D$106)/D$107</f>
        <v>0.42423624892683548</v>
      </c>
      <c r="E267" s="17">
        <f>('Q1'!Z158-E$106)/E$107</f>
        <v>-6.0892745717872968E-2</v>
      </c>
      <c r="F267" s="17">
        <f>('Q1'!AA158-F$106)/F$107</f>
        <v>-0.2323117417699212</v>
      </c>
      <c r="G267" s="17">
        <f>('Q1'!AB158-G$106)/G$107</f>
        <v>0.23944582813071738</v>
      </c>
      <c r="H267" s="17">
        <f>('Q1'!AC158-H$106)/H$107</f>
        <v>-0.98756282053886413</v>
      </c>
      <c r="I267" s="17">
        <f>('Q1'!AD158-I$106)/I$107</f>
        <v>0.28002752960623234</v>
      </c>
      <c r="J267" s="17">
        <f>('Q1'!AE158-J$106)/J$107</f>
        <v>0.16875420132235197</v>
      </c>
      <c r="K267" s="17">
        <f>('Q1'!AF158-K$106)/K$107</f>
        <v>0.13174237842458636</v>
      </c>
      <c r="L267" s="17">
        <f>('Q1'!AG158-L$106)/L$107</f>
        <v>0.55189317371209323</v>
      </c>
      <c r="M267" s="17">
        <f>('Q1'!AH158-M$106)/M$107</f>
        <v>0.84411109854677491</v>
      </c>
      <c r="N267" s="17">
        <f>('Q1'!AI158-N$106)/N$107</f>
        <v>5.5397336714999197E-2</v>
      </c>
      <c r="O267" s="17">
        <f>('Q1'!AJ158-O$106)/O$107</f>
        <v>-0.24119012161215825</v>
      </c>
      <c r="P267" s="17">
        <f>('Q1'!AK158-P$106)/P$107</f>
        <v>-0.51284238532866711</v>
      </c>
      <c r="Q267" s="17">
        <f>('Q1'!AL158-Q$106)/Q$107</f>
        <v>-0.20667894568226908</v>
      </c>
      <c r="R267" s="17">
        <f>('Q1'!AM158-R$106)/R$107</f>
        <v>9.5030230362073143E-3</v>
      </c>
      <c r="S267" s="17">
        <f>('Q1'!AN158-S$106)/S$107</f>
        <v>-0.24898256057364698</v>
      </c>
    </row>
    <row r="268" spans="2:19">
      <c r="B268" s="17">
        <f>('Q1'!W159-B$106)/B$107</f>
        <v>-0.32965807416638043</v>
      </c>
      <c r="C268" s="17">
        <f>('Q1'!X159-C$106)/C$107</f>
        <v>0.68225750194959245</v>
      </c>
      <c r="D268" s="17">
        <f>('Q1'!Y159-D$106)/D$107</f>
        <v>-0.47980629813119724</v>
      </c>
      <c r="E268" s="17">
        <f>('Q1'!Z159-E$106)/E$107</f>
        <v>0.44045777576051232</v>
      </c>
      <c r="F268" s="17">
        <f>('Q1'!AA159-F$106)/F$107</f>
        <v>-5.0118601724516839E-3</v>
      </c>
      <c r="G268" s="17">
        <f>('Q1'!AB159-G$106)/G$107</f>
        <v>6.6011740442297795E-2</v>
      </c>
      <c r="H268" s="17">
        <f>('Q1'!AC159-H$106)/H$107</f>
        <v>-0.43786186354866707</v>
      </c>
      <c r="I268" s="17">
        <f>('Q1'!AD159-I$106)/I$107</f>
        <v>7.8461119316167102E-2</v>
      </c>
      <c r="J268" s="17">
        <f>('Q1'!AE159-J$106)/J$107</f>
        <v>0.22208743721381144</v>
      </c>
      <c r="K268" s="17">
        <f>('Q1'!AF159-K$106)/K$107</f>
        <v>0.83190030772232892</v>
      </c>
      <c r="L268" s="17">
        <f>('Q1'!AG159-L$106)/L$107</f>
        <v>0.82853135194799643</v>
      </c>
      <c r="M268" s="17">
        <f>('Q1'!AH159-M$106)/M$107</f>
        <v>6.7581239445755878E-2</v>
      </c>
      <c r="N268" s="17">
        <f>('Q1'!AI159-N$106)/N$107</f>
        <v>0.53862696999471049</v>
      </c>
      <c r="O268" s="17">
        <f>('Q1'!AJ159-O$106)/O$107</f>
        <v>1.9513658592882014E-2</v>
      </c>
      <c r="P268" s="17">
        <f>('Q1'!AK159-P$106)/P$107</f>
        <v>-0.1544387109631688</v>
      </c>
      <c r="Q268" s="17">
        <f>('Q1'!AL159-Q$106)/Q$107</f>
        <v>-0.10477523444873003</v>
      </c>
      <c r="R268" s="17">
        <f>('Q1'!AM159-R$106)/R$107</f>
        <v>0.32010134243580174</v>
      </c>
      <c r="S268" s="17">
        <f>('Q1'!AN159-S$106)/S$107</f>
        <v>0.82973868409173279</v>
      </c>
    </row>
    <row r="269" spans="2:19">
      <c r="B269" s="17">
        <f>('Q1'!W160-B$106)/B$107</f>
        <v>3.4840220387840612E-2</v>
      </c>
      <c r="C269" s="17">
        <f>('Q1'!X160-C$106)/C$107</f>
        <v>3.9623826337553221E-3</v>
      </c>
      <c r="D269" s="17">
        <f>('Q1'!Y160-D$106)/D$107</f>
        <v>0.25660829692420112</v>
      </c>
      <c r="E269" s="17">
        <f>('Q1'!Z160-E$106)/E$107</f>
        <v>0.44574520906566445</v>
      </c>
      <c r="F269" s="17">
        <f>('Q1'!AA160-F$106)/F$107</f>
        <v>-0.22330698520447623</v>
      </c>
      <c r="G269" s="17">
        <f>('Q1'!AB160-G$106)/G$107</f>
        <v>0.47985116472716743</v>
      </c>
      <c r="H269" s="17">
        <f>('Q1'!AC160-H$106)/H$107</f>
        <v>0.36298816727736388</v>
      </c>
      <c r="I269" s="17">
        <f>('Q1'!AD160-I$106)/I$107</f>
        <v>-0.22306078332682186</v>
      </c>
      <c r="J269" s="17">
        <f>('Q1'!AE160-J$106)/J$107</f>
        <v>-0.95159632579991482</v>
      </c>
      <c r="K269" s="17">
        <f>('Q1'!AF160-K$106)/K$107</f>
        <v>5.2558578797400994E-2</v>
      </c>
      <c r="L269" s="17">
        <f>('Q1'!AG160-L$106)/L$107</f>
        <v>3.7518401492811271E-2</v>
      </c>
      <c r="M269" s="17">
        <f>('Q1'!AH160-M$106)/M$107</f>
        <v>-1.0214835830872779</v>
      </c>
      <c r="N269" s="17">
        <f>('Q1'!AI160-N$106)/N$107</f>
        <v>0.20486255587095401</v>
      </c>
      <c r="O269" s="17">
        <f>('Q1'!AJ160-O$106)/O$107</f>
        <v>-0.39598601275107198</v>
      </c>
      <c r="P269" s="17">
        <f>('Q1'!AK160-P$106)/P$107</f>
        <v>-0.23065765780936612</v>
      </c>
      <c r="Q269" s="17">
        <f>('Q1'!AL160-Q$106)/Q$107</f>
        <v>-0.54248401898078502</v>
      </c>
      <c r="R269" s="17">
        <f>('Q1'!AM160-R$106)/R$107</f>
        <v>1.8075932910811394</v>
      </c>
      <c r="S269" s="17">
        <f>('Q1'!AN160-S$106)/S$107</f>
        <v>-0.79693536701997258</v>
      </c>
    </row>
    <row r="270" spans="2:19">
      <c r="B270" s="17">
        <f>('Q1'!W161-B$106)/B$107</f>
        <v>0.48533050178034448</v>
      </c>
      <c r="C270" s="17">
        <f>('Q1'!X161-C$106)/C$107</f>
        <v>0.9004824830672763</v>
      </c>
      <c r="D270" s="17">
        <f>('Q1'!Y161-D$106)/D$107</f>
        <v>1.2952713815881949</v>
      </c>
      <c r="E270" s="17">
        <f>('Q1'!Z161-E$106)/E$107</f>
        <v>0.9571806688417539</v>
      </c>
      <c r="F270" s="17">
        <f>('Q1'!AA161-F$106)/F$107</f>
        <v>-0.83248238795265972</v>
      </c>
      <c r="G270" s="17">
        <f>('Q1'!AB161-G$106)/G$107</f>
        <v>0.57957751389950118</v>
      </c>
      <c r="H270" s="17">
        <f>('Q1'!AC161-H$106)/H$107</f>
        <v>-0.47998109582526371</v>
      </c>
      <c r="I270" s="17">
        <f>('Q1'!AD161-I$106)/I$107</f>
        <v>-6.8998697140442676E-3</v>
      </c>
      <c r="J270" s="17">
        <f>('Q1'!AE161-J$106)/J$107</f>
        <v>0.57857707275412329</v>
      </c>
      <c r="K270" s="17">
        <f>('Q1'!AF161-K$106)/K$107</f>
        <v>-1.1136038531463259</v>
      </c>
      <c r="L270" s="17">
        <f>('Q1'!AG161-L$106)/L$107</f>
        <v>1.1007184379575419</v>
      </c>
      <c r="M270" s="17">
        <f>('Q1'!AH161-M$106)/M$107</f>
        <v>1.8556839919857442</v>
      </c>
      <c r="N270" s="17">
        <f>('Q1'!AI161-N$106)/N$107</f>
        <v>0.69802340694374498</v>
      </c>
      <c r="O270" s="17">
        <f>('Q1'!AJ161-O$106)/O$107</f>
        <v>-0.20319807260516654</v>
      </c>
      <c r="P270" s="17">
        <f>('Q1'!AK161-P$106)/P$107</f>
        <v>-9.1162877473962373E-2</v>
      </c>
      <c r="Q270" s="17">
        <f>('Q1'!AL161-Q$106)/Q$107</f>
        <v>0.30363976342498278</v>
      </c>
      <c r="R270" s="17">
        <f>('Q1'!AM161-R$106)/R$107</f>
        <v>0.52865261864596502</v>
      </c>
      <c r="S270" s="17">
        <f>('Q1'!AN161-S$106)/S$107</f>
        <v>0.28051104099538637</v>
      </c>
    </row>
    <row r="271" spans="2:19">
      <c r="B271" s="17">
        <f>('Q1'!W162-B$106)/B$107</f>
        <v>-0.92642715031134071</v>
      </c>
      <c r="C271" s="17">
        <f>('Q1'!X162-C$106)/C$107</f>
        <v>-0.6230762901808804</v>
      </c>
      <c r="D271" s="17">
        <f>('Q1'!Y162-D$106)/D$107</f>
        <v>-0.51666155236545586</v>
      </c>
      <c r="E271" s="17">
        <f>('Q1'!Z162-E$106)/E$107</f>
        <v>-0.68679316761914533</v>
      </c>
      <c r="F271" s="17">
        <f>('Q1'!AA162-F$106)/F$107</f>
        <v>-0.42141521345231858</v>
      </c>
      <c r="G271" s="17">
        <f>('Q1'!AB162-G$106)/G$107</f>
        <v>-0.129255460962624</v>
      </c>
      <c r="H271" s="17">
        <f>('Q1'!AC162-H$106)/H$107</f>
        <v>-1.0001733341478161</v>
      </c>
      <c r="I271" s="17">
        <f>('Q1'!AD162-I$106)/I$107</f>
        <v>-8.9974373287325729E-2</v>
      </c>
      <c r="J271" s="17">
        <f>('Q1'!AE162-J$106)/J$107</f>
        <v>-0.40643757447476259</v>
      </c>
      <c r="K271" s="17">
        <f>('Q1'!AF162-K$106)/K$107</f>
        <v>0.54736437189219844</v>
      </c>
      <c r="L271" s="17">
        <f>('Q1'!AG162-L$106)/L$107</f>
        <v>-0.25769462305242535</v>
      </c>
      <c r="M271" s="17">
        <f>('Q1'!AH162-M$106)/M$107</f>
        <v>0.39535163775317245</v>
      </c>
      <c r="N271" s="17">
        <f>('Q1'!AI162-N$106)/N$107</f>
        <v>0.19286375909402992</v>
      </c>
      <c r="O271" s="17">
        <f>('Q1'!AJ162-O$106)/O$107</f>
        <v>-0.24193003297906063</v>
      </c>
      <c r="P271" s="17">
        <f>('Q1'!AK162-P$106)/P$107</f>
        <v>-1.2500684711321759</v>
      </c>
      <c r="Q271" s="17">
        <f>('Q1'!AL162-Q$106)/Q$107</f>
        <v>7.6129968517918006E-2</v>
      </c>
      <c r="R271" s="17">
        <f>('Q1'!AM162-R$106)/R$107</f>
        <v>-0.19159821153318327</v>
      </c>
      <c r="S271" s="17">
        <f>('Q1'!AN162-S$106)/S$107</f>
        <v>-1.1658795886056779</v>
      </c>
    </row>
    <row r="272" spans="2:19">
      <c r="B272" s="17">
        <f>('Q1'!W163-B$106)/B$107</f>
        <v>0.10573164848010462</v>
      </c>
      <c r="C272" s="17">
        <f>('Q1'!X163-C$106)/C$107</f>
        <v>1.1403518814193956</v>
      </c>
      <c r="D272" s="17">
        <f>('Q1'!Y163-D$106)/D$107</f>
        <v>0.52797459135917535</v>
      </c>
      <c r="E272" s="17">
        <f>('Q1'!Z163-E$106)/E$107</f>
        <v>0.72262436268320351</v>
      </c>
      <c r="F272" s="17">
        <f>('Q1'!AA163-F$106)/F$107</f>
        <v>0.83098337734803995</v>
      </c>
      <c r="G272" s="17">
        <f>('Q1'!AB163-G$106)/G$107</f>
        <v>2.1478759834332815E-2</v>
      </c>
      <c r="H272" s="17">
        <f>('Q1'!AC163-H$106)/H$107</f>
        <v>0.16848416632664492</v>
      </c>
      <c r="I272" s="17">
        <f>('Q1'!AD163-I$106)/I$107</f>
        <v>0.69751598676274551</v>
      </c>
      <c r="J272" s="17">
        <f>('Q1'!AE163-J$106)/J$107</f>
        <v>1.0825227973942435</v>
      </c>
      <c r="K272" s="17">
        <f>('Q1'!AF163-K$106)/K$107</f>
        <v>0.65206290186696725</v>
      </c>
      <c r="L272" s="17">
        <f>('Q1'!AG163-L$106)/L$107</f>
        <v>-0.26539635077410029</v>
      </c>
      <c r="M272" s="17">
        <f>('Q1'!AH163-M$106)/M$107</f>
        <v>0.9421445785592486</v>
      </c>
      <c r="N272" s="17">
        <f>('Q1'!AI163-N$106)/N$107</f>
        <v>0.53365932292775742</v>
      </c>
      <c r="O272" s="17">
        <f>('Q1'!AJ163-O$106)/O$107</f>
        <v>0.53951924340639346</v>
      </c>
      <c r="P272" s="17">
        <f>('Q1'!AK163-P$106)/P$107</f>
        <v>1.043999296479363</v>
      </c>
      <c r="Q272" s="17">
        <f>('Q1'!AL163-Q$106)/Q$107</f>
        <v>0.49206250257574241</v>
      </c>
      <c r="R272" s="17">
        <f>('Q1'!AM163-R$106)/R$107</f>
        <v>-1.1243260357700928</v>
      </c>
      <c r="S272" s="17">
        <f>('Q1'!AN163-S$106)/S$107</f>
        <v>0.19025244146475553</v>
      </c>
    </row>
    <row r="273" spans="2:19">
      <c r="B273" s="17">
        <f>('Q1'!W164-B$106)/B$107</f>
        <v>-7.1479177098434821E-2</v>
      </c>
      <c r="C273" s="17">
        <f>('Q1'!X164-C$106)/C$107</f>
        <v>-0.39043589751053986</v>
      </c>
      <c r="D273" s="17">
        <f>('Q1'!Y164-D$106)/D$107</f>
        <v>-1.1495940508611115</v>
      </c>
      <c r="E273" s="17">
        <f>('Q1'!Z164-E$106)/E$107</f>
        <v>-0.6520080260469302</v>
      </c>
      <c r="F273" s="17">
        <f>('Q1'!AA164-F$106)/F$107</f>
        <v>0.15622189992733007</v>
      </c>
      <c r="G273" s="17">
        <f>('Q1'!AB164-G$106)/G$107</f>
        <v>-0.70521110358783723</v>
      </c>
      <c r="H273" s="17">
        <f>('Q1'!AC164-H$106)/H$107</f>
        <v>-9.8034457265294764E-2</v>
      </c>
      <c r="I273" s="17">
        <f>('Q1'!AD164-I$106)/I$107</f>
        <v>-0.59683563976227871</v>
      </c>
      <c r="J273" s="17">
        <f>('Q1'!AE164-J$106)/J$107</f>
        <v>-2.989632164564697E-2</v>
      </c>
      <c r="K273" s="17">
        <f>('Q1'!AF164-K$106)/K$107</f>
        <v>-0.5142613170488356</v>
      </c>
      <c r="L273" s="17">
        <f>('Q1'!AG164-L$106)/L$107</f>
        <v>-0.36513328345101204</v>
      </c>
      <c r="M273" s="17">
        <f>('Q1'!AH164-M$106)/M$107</f>
        <v>-0.90842593966946672</v>
      </c>
      <c r="N273" s="17">
        <f>('Q1'!AI164-N$106)/N$107</f>
        <v>-0.78858764299569095</v>
      </c>
      <c r="O273" s="17">
        <f>('Q1'!AJ164-O$106)/O$107</f>
        <v>0.22289791001852396</v>
      </c>
      <c r="P273" s="17">
        <f>('Q1'!AK164-P$106)/P$107</f>
        <v>0.46011795434815939</v>
      </c>
      <c r="Q273" s="17">
        <f>('Q1'!AL164-Q$106)/Q$107</f>
        <v>-0.69582426095420136</v>
      </c>
      <c r="R273" s="17">
        <f>('Q1'!AM164-R$106)/R$107</f>
        <v>0.46148575139563969</v>
      </c>
      <c r="S273" s="17">
        <f>('Q1'!AN164-S$106)/S$107</f>
        <v>-1.0058643319314182</v>
      </c>
    </row>
    <row r="274" spans="2:19">
      <c r="B274" s="17">
        <f>('Q1'!W165-B$106)/B$107</f>
        <v>0.44201423377050014</v>
      </c>
      <c r="C274" s="17">
        <f>('Q1'!X165-C$106)/C$107</f>
        <v>-0.29793794761401593</v>
      </c>
      <c r="D274" s="17">
        <f>('Q1'!Y165-D$106)/D$107</f>
        <v>0.14229573090586128</v>
      </c>
      <c r="E274" s="17">
        <f>('Q1'!Z165-E$106)/E$107</f>
        <v>9.4391588792763024E-3</v>
      </c>
      <c r="F274" s="17">
        <f>('Q1'!AA165-F$106)/F$107</f>
        <v>0.73198011127592333</v>
      </c>
      <c r="G274" s="17">
        <f>('Q1'!AB165-G$106)/G$107</f>
        <v>-0.27802444589394248</v>
      </c>
      <c r="H274" s="17">
        <f>('Q1'!AC165-H$106)/H$107</f>
        <v>-0.50890949362326132</v>
      </c>
      <c r="I274" s="17">
        <f>('Q1'!AD165-I$106)/I$107</f>
        <v>-0.73036232955097879</v>
      </c>
      <c r="J274" s="17">
        <f>('Q1'!AE165-J$106)/J$107</f>
        <v>0.61800986268146785</v>
      </c>
      <c r="K274" s="17">
        <f>('Q1'!AF165-K$106)/K$107</f>
        <v>0.23692613356561809</v>
      </c>
      <c r="L274" s="17">
        <f>('Q1'!AG165-L$106)/L$107</f>
        <v>0.43790711137158855</v>
      </c>
      <c r="M274" s="17">
        <f>('Q1'!AH165-M$106)/M$107</f>
        <v>1.2019397403917969</v>
      </c>
      <c r="N274" s="17">
        <f>('Q1'!AI165-N$106)/N$107</f>
        <v>3.580509942320019E-2</v>
      </c>
      <c r="O274" s="17">
        <f>('Q1'!AJ165-O$106)/O$107</f>
        <v>0.60904962965138565</v>
      </c>
      <c r="P274" s="17">
        <f>('Q1'!AK165-P$106)/P$107</f>
        <v>-0.36900945348326225</v>
      </c>
      <c r="Q274" s="17">
        <f>('Q1'!AL165-Q$106)/Q$107</f>
        <v>0.7105358998574417</v>
      </c>
      <c r="R274" s="17">
        <f>('Q1'!AM165-R$106)/R$107</f>
        <v>-0.10674897057551219</v>
      </c>
      <c r="S274" s="17">
        <f>('Q1'!AN165-S$106)/S$107</f>
        <v>0.19693231223981972</v>
      </c>
    </row>
    <row r="275" spans="2:19">
      <c r="B275" s="17">
        <f>('Q1'!W166-B$106)/B$107</f>
        <v>-0.17752380920363212</v>
      </c>
      <c r="C275" s="17">
        <f>('Q1'!X166-C$106)/C$107</f>
        <v>2.5305337365683616E-2</v>
      </c>
      <c r="D275" s="17">
        <f>('Q1'!Y166-D$106)/D$107</f>
        <v>-0.16237519336645137</v>
      </c>
      <c r="E275" s="17">
        <f>('Q1'!Z166-E$106)/E$107</f>
        <v>2.3599798372113186E-2</v>
      </c>
      <c r="F275" s="17">
        <f>('Q1'!AA166-F$106)/F$107</f>
        <v>0.44243709985155327</v>
      </c>
      <c r="G275" s="17">
        <f>('Q1'!AB166-G$106)/G$107</f>
        <v>0.48433663475069416</v>
      </c>
      <c r="H275" s="17">
        <f>('Q1'!AC166-H$106)/H$107</f>
        <v>-4.0071067012755111E-2</v>
      </c>
      <c r="I275" s="17">
        <f>('Q1'!AD166-I$106)/I$107</f>
        <v>1.1950621828300174</v>
      </c>
      <c r="J275" s="17">
        <f>('Q1'!AE166-J$106)/J$107</f>
        <v>-1.5600237349001778</v>
      </c>
      <c r="K275" s="17">
        <f>('Q1'!AF166-K$106)/K$107</f>
        <v>1.0596525998055133</v>
      </c>
      <c r="L275" s="17">
        <f>('Q1'!AG166-L$106)/L$107</f>
        <v>0.80324573597611593</v>
      </c>
      <c r="M275" s="17">
        <f>('Q1'!AH166-M$106)/M$107</f>
        <v>0.93191396666982618</v>
      </c>
      <c r="N275" s="17">
        <f>('Q1'!AI166-N$106)/N$107</f>
        <v>0.28192443287571906</v>
      </c>
      <c r="O275" s="17">
        <f>('Q1'!AJ166-O$106)/O$107</f>
        <v>0.12832893124456721</v>
      </c>
      <c r="P275" s="17">
        <f>('Q1'!AK166-P$106)/P$107</f>
        <v>0.63847861833875441</v>
      </c>
      <c r="Q275" s="17">
        <f>('Q1'!AL166-Q$106)/Q$107</f>
        <v>1.1147435733212403</v>
      </c>
      <c r="R275" s="17">
        <f>('Q1'!AM166-R$106)/R$107</f>
        <v>0.64863931986960488</v>
      </c>
      <c r="S275" s="17">
        <f>('Q1'!AN166-S$106)/S$107</f>
        <v>-0.54382289511994286</v>
      </c>
    </row>
    <row r="276" spans="2:19">
      <c r="B276" s="17">
        <f>('Q1'!W167-B$106)/B$107</f>
        <v>0.40662319663274343</v>
      </c>
      <c r="C276" s="17">
        <f>('Q1'!X167-C$106)/C$107</f>
        <v>1.1066032736550406</v>
      </c>
      <c r="D276" s="17">
        <f>('Q1'!Y167-D$106)/D$107</f>
        <v>1.26659399498673</v>
      </c>
      <c r="E276" s="17">
        <f>('Q1'!Z167-E$106)/E$107</f>
        <v>0.70681315130330213</v>
      </c>
      <c r="F276" s="17">
        <f>('Q1'!AA167-F$106)/F$107</f>
        <v>-1.5297080704409931E-2</v>
      </c>
      <c r="G276" s="17">
        <f>('Q1'!AB167-G$106)/G$107</f>
        <v>1.1349122842321742</v>
      </c>
      <c r="H276" s="17">
        <f>('Q1'!AC167-H$106)/H$107</f>
        <v>0.1753282073487839</v>
      </c>
      <c r="I276" s="17">
        <f>('Q1'!AD167-I$106)/I$107</f>
        <v>0.85765848706175607</v>
      </c>
      <c r="J276" s="17">
        <f>('Q1'!AE167-J$106)/J$107</f>
        <v>0.2248924328804161</v>
      </c>
      <c r="K276" s="17">
        <f>('Q1'!AF167-K$106)/K$107</f>
        <v>0.49229643597647738</v>
      </c>
      <c r="L276" s="17">
        <f>('Q1'!AG167-L$106)/L$107</f>
        <v>0.45881169239971475</v>
      </c>
      <c r="M276" s="17">
        <f>('Q1'!AH167-M$106)/M$107</f>
        <v>6.0132963530847502E-2</v>
      </c>
      <c r="N276" s="17">
        <f>('Q1'!AI167-N$106)/N$107</f>
        <v>0.25779877705972037</v>
      </c>
      <c r="O276" s="17">
        <f>('Q1'!AJ167-O$106)/O$107</f>
        <v>-6.9363514505873233E-2</v>
      </c>
      <c r="P276" s="17">
        <f>('Q1'!AK167-P$106)/P$107</f>
        <v>0.34422408134575561</v>
      </c>
      <c r="Q276" s="17">
        <f>('Q1'!AL167-Q$106)/Q$107</f>
        <v>0.46508577022208669</v>
      </c>
      <c r="R276" s="17">
        <f>('Q1'!AM167-R$106)/R$107</f>
        <v>0.80841523391331738</v>
      </c>
      <c r="S276" s="17">
        <f>('Q1'!AN167-S$106)/S$107</f>
        <v>-5.9172504098623409E-2</v>
      </c>
    </row>
    <row r="277" spans="2:19">
      <c r="B277" s="17">
        <f>('Q1'!W168-B$106)/B$107</f>
        <v>0.12822661756368015</v>
      </c>
      <c r="C277" s="17">
        <f>('Q1'!X168-C$106)/C$107</f>
        <v>-0.23581102950381869</v>
      </c>
      <c r="D277" s="17">
        <f>('Q1'!Y168-D$106)/D$107</f>
        <v>0.1312560587910315</v>
      </c>
      <c r="E277" s="17">
        <f>('Q1'!Z168-E$106)/E$107</f>
        <v>-0.15572001924694853</v>
      </c>
      <c r="F277" s="17">
        <f>('Q1'!AA168-F$106)/F$107</f>
        <v>-0.79787157902178751</v>
      </c>
      <c r="G277" s="17">
        <f>('Q1'!AB168-G$106)/G$107</f>
        <v>-5.3905081004564481E-2</v>
      </c>
      <c r="H277" s="17">
        <f>('Q1'!AC168-H$106)/H$107</f>
        <v>0.84267695350960459</v>
      </c>
      <c r="I277" s="17">
        <f>('Q1'!AD168-I$106)/I$107</f>
        <v>-0.80589732495815725</v>
      </c>
      <c r="J277" s="17">
        <f>('Q1'!AE168-J$106)/J$107</f>
        <v>-0.22128771733323679</v>
      </c>
      <c r="K277" s="17">
        <f>('Q1'!AF168-K$106)/K$107</f>
        <v>-0.51704681465454894</v>
      </c>
      <c r="L277" s="17">
        <f>('Q1'!AG168-L$106)/L$107</f>
        <v>0.51837330525000891</v>
      </c>
      <c r="M277" s="17">
        <f>('Q1'!AH168-M$106)/M$107</f>
        <v>1.2961981849600708</v>
      </c>
      <c r="N277" s="17">
        <f>('Q1'!AI168-N$106)/N$107</f>
        <v>0.34826919345894014</v>
      </c>
      <c r="O277" s="17">
        <f>('Q1'!AJ168-O$106)/O$107</f>
        <v>0.29858291702349293</v>
      </c>
      <c r="P277" s="17">
        <f>('Q1'!AK168-P$106)/P$107</f>
        <v>-9.9342124051334621E-2</v>
      </c>
      <c r="Q277" s="17">
        <f>('Q1'!AL168-Q$106)/Q$107</f>
        <v>-6.7760963351673892E-2</v>
      </c>
      <c r="R277" s="17">
        <f>('Q1'!AM168-R$106)/R$107</f>
        <v>-0.29219145230756099</v>
      </c>
      <c r="S277" s="17">
        <f>('Q1'!AN168-S$106)/S$107</f>
        <v>0.59277469582433462</v>
      </c>
    </row>
    <row r="278" spans="2:19">
      <c r="B278" s="17">
        <f>('Q1'!W169-B$106)/B$107</f>
        <v>-0.17086413367836323</v>
      </c>
      <c r="C278" s="17">
        <f>('Q1'!X169-C$106)/C$107</f>
        <v>0.59992241978426775</v>
      </c>
      <c r="D278" s="17">
        <f>('Q1'!Y169-D$106)/D$107</f>
        <v>-0.75675017300654457</v>
      </c>
      <c r="E278" s="17">
        <f>('Q1'!Z169-E$106)/E$107</f>
        <v>-0.79580166638688798</v>
      </c>
      <c r="F278" s="17">
        <f>('Q1'!AA169-F$106)/F$107</f>
        <v>-1.3571097555293274</v>
      </c>
      <c r="G278" s="17">
        <f>('Q1'!AB169-G$106)/G$107</f>
        <v>-6.591867851197851E-2</v>
      </c>
      <c r="H278" s="17">
        <f>('Q1'!AC169-H$106)/H$107</f>
        <v>-0.83260133840361372</v>
      </c>
      <c r="I278" s="17">
        <f>('Q1'!AD169-I$106)/I$107</f>
        <v>-1.3074326628080519</v>
      </c>
      <c r="J278" s="17">
        <f>('Q1'!AE169-J$106)/J$107</f>
        <v>-0.53065811309822208</v>
      </c>
      <c r="K278" s="17">
        <f>('Q1'!AF169-K$106)/K$107</f>
        <v>-0.19176706510903505</v>
      </c>
      <c r="L278" s="17">
        <f>('Q1'!AG169-L$106)/L$107</f>
        <v>-0.81625455070901953</v>
      </c>
      <c r="M278" s="17">
        <f>('Q1'!AH169-M$106)/M$107</f>
        <v>-1.1518637592677177</v>
      </c>
      <c r="N278" s="17">
        <f>('Q1'!AI169-N$106)/N$107</f>
        <v>-0.13376533429865831</v>
      </c>
      <c r="O278" s="17">
        <f>('Q1'!AJ169-O$106)/O$107</f>
        <v>-1.3659210451449275</v>
      </c>
      <c r="P278" s="17">
        <f>('Q1'!AK169-P$106)/P$107</f>
        <v>-1.2070206247822064</v>
      </c>
      <c r="Q278" s="17">
        <f>('Q1'!AL169-Q$106)/Q$107</f>
        <v>-0.95666369032780063</v>
      </c>
      <c r="R278" s="17">
        <f>('Q1'!AM169-R$106)/R$107</f>
        <v>-6.1691765080588512E-3</v>
      </c>
      <c r="S278" s="17">
        <f>('Q1'!AN169-S$106)/S$107</f>
        <v>-0.90277816149554979</v>
      </c>
    </row>
    <row r="279" spans="2:19">
      <c r="B279" s="17">
        <f>('Q1'!W170-B$106)/B$107</f>
        <v>-0.47928309891217369</v>
      </c>
      <c r="C279" s="17">
        <f>('Q1'!X170-C$106)/C$107</f>
        <v>-0.21163974166594463</v>
      </c>
      <c r="D279" s="17">
        <f>('Q1'!Y170-D$106)/D$107</f>
        <v>0.26163005533257228</v>
      </c>
      <c r="E279" s="17">
        <f>('Q1'!Z170-E$106)/E$107</f>
        <v>0.19497545123523391</v>
      </c>
      <c r="F279" s="17">
        <f>('Q1'!AA170-F$106)/F$107</f>
        <v>1.1344680038262018</v>
      </c>
      <c r="G279" s="17">
        <f>('Q1'!AB170-G$106)/G$107</f>
        <v>0.60872316649462699</v>
      </c>
      <c r="H279" s="17">
        <f>('Q1'!AC170-H$106)/H$107</f>
        <v>-0.1857807348802086</v>
      </c>
      <c r="I279" s="17">
        <f>('Q1'!AD170-I$106)/I$107</f>
        <v>0.52816203667638961</v>
      </c>
      <c r="J279" s="17">
        <f>('Q1'!AE170-J$106)/J$107</f>
        <v>0.74338327708595486</v>
      </c>
      <c r="K279" s="17">
        <f>('Q1'!AF170-K$106)/K$107</f>
        <v>0.86183857835498001</v>
      </c>
      <c r="L279" s="17">
        <f>('Q1'!AG170-L$106)/L$107</f>
        <v>0.72834306552915806</v>
      </c>
      <c r="M279" s="17">
        <f>('Q1'!AH170-M$106)/M$107</f>
        <v>1.5699686259122301</v>
      </c>
      <c r="N279" s="17">
        <f>('Q1'!AI170-N$106)/N$107</f>
        <v>0.16935992022374505</v>
      </c>
      <c r="O279" s="17">
        <f>('Q1'!AJ170-O$106)/O$107</f>
        <v>0.69132501994539908</v>
      </c>
      <c r="P279" s="17">
        <f>('Q1'!AK170-P$106)/P$107</f>
        <v>0.23006787526421577</v>
      </c>
      <c r="Q279" s="17">
        <f>('Q1'!AL170-Q$106)/Q$107</f>
        <v>-9.6125231429821545E-2</v>
      </c>
      <c r="R279" s="17">
        <f>('Q1'!AM170-R$106)/R$107</f>
        <v>5.3929242357047954E-3</v>
      </c>
      <c r="S279" s="17">
        <f>('Q1'!AN170-S$106)/S$107</f>
        <v>0.57241009908808671</v>
      </c>
    </row>
    <row r="280" spans="2:19">
      <c r="B280" s="17">
        <f>('Q1'!W171-B$106)/B$107</f>
        <v>-0.59333142003696293</v>
      </c>
      <c r="C280" s="17">
        <f>('Q1'!X171-C$106)/C$107</f>
        <v>0.27437880648908397</v>
      </c>
      <c r="D280" s="17">
        <f>('Q1'!Y171-D$106)/D$107</f>
        <v>0.6784140827310392</v>
      </c>
      <c r="E280" s="17">
        <f>('Q1'!Z171-E$106)/E$107</f>
        <v>-0.20618369285268925</v>
      </c>
      <c r="F280" s="17">
        <f>('Q1'!AA171-F$106)/F$107</f>
        <v>5.4512952576603567E-2</v>
      </c>
      <c r="G280" s="17">
        <f>('Q1'!AB171-G$106)/G$107</f>
        <v>0.11834702240146897</v>
      </c>
      <c r="H280" s="17">
        <f>('Q1'!AC171-H$106)/H$107</f>
        <v>0.508138648164565</v>
      </c>
      <c r="I280" s="17">
        <f>('Q1'!AD171-I$106)/I$107</f>
        <v>0.33661902361689017</v>
      </c>
      <c r="J280" s="17">
        <f>('Q1'!AE171-J$106)/J$107</f>
        <v>-0.37611938384745697</v>
      </c>
      <c r="K280" s="17">
        <f>('Q1'!AF171-K$106)/K$107</f>
        <v>7.5302134446908531E-2</v>
      </c>
      <c r="L280" s="17">
        <f>('Q1'!AG171-L$106)/L$107</f>
        <v>-0.27040187513083758</v>
      </c>
      <c r="M280" s="17">
        <f>('Q1'!AH171-M$106)/M$107</f>
        <v>0.35823606785558837</v>
      </c>
      <c r="N280" s="17">
        <f>('Q1'!AI171-N$106)/N$107</f>
        <v>0.83164775697393711</v>
      </c>
      <c r="O280" s="17">
        <f>('Q1'!AJ171-O$106)/O$107</f>
        <v>0.36859049456425175</v>
      </c>
      <c r="P280" s="17">
        <f>('Q1'!AK171-P$106)/P$107</f>
        <v>2.5383556435571359E-3</v>
      </c>
      <c r="Q280" s="17">
        <f>('Q1'!AL171-Q$106)/Q$107</f>
        <v>-0.72603782202480627</v>
      </c>
      <c r="R280" s="17">
        <f>('Q1'!AM171-R$106)/R$107</f>
        <v>0.82292685542611432</v>
      </c>
      <c r="S280" s="17">
        <f>('Q1'!AN171-S$106)/S$107</f>
        <v>0.53316907183820472</v>
      </c>
    </row>
    <row r="281" spans="2:19">
      <c r="B281" s="17">
        <f>('Q1'!W172-B$106)/B$107</f>
        <v>0.67001637963457483</v>
      </c>
      <c r="C281" s="17">
        <f>('Q1'!X172-C$106)/C$107</f>
        <v>-1.1725793418412056</v>
      </c>
      <c r="D281" s="17">
        <f>('Q1'!Y172-D$106)/D$107</f>
        <v>-1.0461067674775826</v>
      </c>
      <c r="E281" s="17">
        <f>('Q1'!Z172-E$106)/E$107</f>
        <v>3.1736683483821068E-2</v>
      </c>
      <c r="F281" s="17">
        <f>('Q1'!AA172-F$106)/F$107</f>
        <v>0.23951277577910626</v>
      </c>
      <c r="G281" s="17">
        <f>('Q1'!AB172-G$106)/G$107</f>
        <v>-0.28689052110751367</v>
      </c>
      <c r="H281" s="17">
        <f>('Q1'!AC172-H$106)/H$107</f>
        <v>0.23152537704798051</v>
      </c>
      <c r="I281" s="17">
        <f>('Q1'!AD172-I$106)/I$107</f>
        <v>0.327380209719077</v>
      </c>
      <c r="J281" s="17">
        <f>('Q1'!AE172-J$106)/J$107</f>
        <v>0.63413616702392128</v>
      </c>
      <c r="K281" s="17">
        <f>('Q1'!AF172-K$106)/K$107</f>
        <v>-0.49983058851873519</v>
      </c>
      <c r="L281" s="17">
        <f>('Q1'!AG172-L$106)/L$107</f>
        <v>-0.43873445975633635</v>
      </c>
      <c r="M281" s="17">
        <f>('Q1'!AH172-M$106)/M$107</f>
        <v>-0.67124503190713103</v>
      </c>
      <c r="N281" s="17">
        <f>('Q1'!AI172-N$106)/N$107</f>
        <v>-0.14207586465758501</v>
      </c>
      <c r="O281" s="17">
        <f>('Q1'!AJ172-O$106)/O$107</f>
        <v>0.20075357014166964</v>
      </c>
      <c r="P281" s="17">
        <f>('Q1'!AK172-P$106)/P$107</f>
        <v>0.66574497790029563</v>
      </c>
      <c r="Q281" s="17">
        <f>('Q1'!AL172-Q$106)/Q$107</f>
        <v>-0.91985828992163321</v>
      </c>
      <c r="R281" s="17">
        <f>('Q1'!AM172-R$106)/R$107</f>
        <v>-0.32900341834825375</v>
      </c>
      <c r="S281" s="17">
        <f>('Q1'!AN172-S$106)/S$107</f>
        <v>0.19182390267598662</v>
      </c>
    </row>
    <row r="282" spans="2:19">
      <c r="B282" s="17">
        <f>('Q1'!W173-B$106)/B$107</f>
        <v>-0.34968443195469845</v>
      </c>
      <c r="C282" s="17">
        <f>('Q1'!X173-C$106)/C$107</f>
        <v>-9.2695023547003749E-2</v>
      </c>
      <c r="D282" s="17">
        <f>('Q1'!Y173-D$106)/D$107</f>
        <v>-0.14075215323536586</v>
      </c>
      <c r="E282" s="17">
        <f>('Q1'!Z173-E$106)/E$107</f>
        <v>-8.5184546907129136E-2</v>
      </c>
      <c r="F282" s="17">
        <f>('Q1'!AA173-F$106)/F$107</f>
        <v>0.25680774974072496</v>
      </c>
      <c r="G282" s="17">
        <f>('Q1'!AB173-G$106)/G$107</f>
        <v>0.2596562550012278</v>
      </c>
      <c r="H282" s="17">
        <f>('Q1'!AC173-H$106)/H$107</f>
        <v>-0.46445055477152314</v>
      </c>
      <c r="I282" s="17">
        <f>('Q1'!AD173-I$106)/I$107</f>
        <v>-0.41479340282781718</v>
      </c>
      <c r="J282" s="17">
        <f>('Q1'!AE173-J$106)/J$107</f>
        <v>8.8723893882650687E-2</v>
      </c>
      <c r="K282" s="17">
        <f>('Q1'!AF173-K$106)/K$107</f>
        <v>-0.93933647176377955</v>
      </c>
      <c r="L282" s="17">
        <f>('Q1'!AG173-L$106)/L$107</f>
        <v>0.42679363358865402</v>
      </c>
      <c r="M282" s="17">
        <f>('Q1'!AH173-M$106)/M$107</f>
        <v>-0.79895259053789081</v>
      </c>
      <c r="N282" s="17">
        <f>('Q1'!AI173-N$106)/N$107</f>
        <v>0.15906150475880773</v>
      </c>
      <c r="O282" s="17">
        <f>('Q1'!AJ173-O$106)/O$107</f>
        <v>0.43998354906727016</v>
      </c>
      <c r="P282" s="17">
        <f>('Q1'!AK173-P$106)/P$107</f>
        <v>0.42448853039080225</v>
      </c>
      <c r="Q282" s="17">
        <f>('Q1'!AL173-Q$106)/Q$107</f>
        <v>4.6009367138948716E-2</v>
      </c>
      <c r="R282" s="17">
        <f>('Q1'!AM173-R$106)/R$107</f>
        <v>1.7181440176110584E-2</v>
      </c>
      <c r="S282" s="17">
        <f>('Q1'!AN173-S$106)/S$107</f>
        <v>-0.95253944381108746</v>
      </c>
    </row>
    <row r="283" spans="2:19">
      <c r="B283" s="17">
        <f>('Q1'!W174-B$106)/B$107</f>
        <v>-0.98642385098577479</v>
      </c>
      <c r="C283" s="17">
        <f>('Q1'!X174-C$106)/C$107</f>
        <v>4.4884104514213104E-2</v>
      </c>
      <c r="D283" s="17">
        <f>('Q1'!Y174-D$106)/D$107</f>
        <v>0.30645235166064388</v>
      </c>
      <c r="E283" s="17">
        <f>('Q1'!Z174-E$106)/E$107</f>
        <v>-0.10732287399380581</v>
      </c>
      <c r="F283" s="17">
        <f>('Q1'!AA174-F$106)/F$107</f>
        <v>0.49492326855972035</v>
      </c>
      <c r="G283" s="17">
        <f>('Q1'!AB174-G$106)/G$107</f>
        <v>-0.31791253589492685</v>
      </c>
      <c r="H283" s="17">
        <f>('Q1'!AC174-H$106)/H$107</f>
        <v>-0.26429872917334091</v>
      </c>
      <c r="I283" s="17">
        <f>('Q1'!AD174-I$106)/I$107</f>
        <v>-0.68512983090079704</v>
      </c>
      <c r="J283" s="17">
        <f>('Q1'!AE174-J$106)/J$107</f>
        <v>-6.2560179374066174E-2</v>
      </c>
      <c r="K283" s="17">
        <f>('Q1'!AF174-K$106)/K$107</f>
        <v>0.10774426984477124</v>
      </c>
      <c r="L283" s="17">
        <f>('Q1'!AG174-L$106)/L$107</f>
        <v>0.28969298117030179</v>
      </c>
      <c r="M283" s="17">
        <f>('Q1'!AH174-M$106)/M$107</f>
        <v>0.16825346010350642</v>
      </c>
      <c r="N283" s="17">
        <f>('Q1'!AI174-N$106)/N$107</f>
        <v>0.39440687189425755</v>
      </c>
      <c r="O283" s="17">
        <f>('Q1'!AJ174-O$106)/O$107</f>
        <v>0.38270605406380975</v>
      </c>
      <c r="P283" s="17">
        <f>('Q1'!AK174-P$106)/P$107</f>
        <v>6.8945466139908596E-2</v>
      </c>
      <c r="Q283" s="17">
        <f>('Q1'!AL174-Q$106)/Q$107</f>
        <v>0.13548865101982541</v>
      </c>
      <c r="R283" s="17">
        <f>('Q1'!AM174-R$106)/R$107</f>
        <v>0.17160426650737484</v>
      </c>
      <c r="S283" s="17">
        <f>('Q1'!AN174-S$106)/S$107</f>
        <v>-0.24905910927238897</v>
      </c>
    </row>
    <row r="284" spans="2:19">
      <c r="B284" s="17">
        <f>('Q1'!W175-B$106)/B$107</f>
        <v>0.2532925188396663</v>
      </c>
      <c r="C284" s="17">
        <f>('Q1'!X175-C$106)/C$107</f>
        <v>-0.15761784457755304</v>
      </c>
      <c r="D284" s="17">
        <f>('Q1'!Y175-D$106)/D$107</f>
        <v>-0.11795836855580885</v>
      </c>
      <c r="E284" s="17">
        <f>('Q1'!Z175-E$106)/E$107</f>
        <v>0.30593891470786527</v>
      </c>
      <c r="F284" s="17">
        <f>('Q1'!AA175-F$106)/F$107</f>
        <v>1.9772027240697786E-2</v>
      </c>
      <c r="G284" s="17">
        <f>('Q1'!AB175-G$106)/G$107</f>
        <v>-6.3809048261373999E-2</v>
      </c>
      <c r="H284" s="17">
        <f>('Q1'!AC175-H$106)/H$107</f>
        <v>-0.83650052620890736</v>
      </c>
      <c r="I284" s="17">
        <f>('Q1'!AD175-I$106)/I$107</f>
        <v>-0.46714438382939938</v>
      </c>
      <c r="J284" s="17">
        <f>('Q1'!AE175-J$106)/J$107</f>
        <v>-0.10149347911040212</v>
      </c>
      <c r="K284" s="17">
        <f>('Q1'!AF175-K$106)/K$107</f>
        <v>-0.61330621409764841</v>
      </c>
      <c r="L284" s="17">
        <f>('Q1'!AG175-L$106)/L$107</f>
        <v>-0.92135214809840893</v>
      </c>
      <c r="M284" s="17">
        <f>('Q1'!AH175-M$106)/M$107</f>
        <v>-1.8471445601483154</v>
      </c>
      <c r="N284" s="17">
        <f>('Q1'!AI175-N$106)/N$107</f>
        <v>-0.49862597330841052</v>
      </c>
      <c r="O284" s="17">
        <f>('Q1'!AJ175-O$106)/O$107</f>
        <v>8.4398312806634485E-2</v>
      </c>
      <c r="P284" s="17">
        <f>('Q1'!AK175-P$106)/P$107</f>
        <v>2.6710115832994607E-2</v>
      </c>
      <c r="Q284" s="17">
        <f>('Q1'!AL175-Q$106)/Q$107</f>
        <v>-0.45428844422630332</v>
      </c>
      <c r="R284" s="17">
        <f>('Q1'!AM175-R$106)/R$107</f>
        <v>0.28711334514776049</v>
      </c>
      <c r="S284" s="17">
        <f>('Q1'!AN175-S$106)/S$107</f>
        <v>0.70198043476476524</v>
      </c>
    </row>
    <row r="285" spans="2:19">
      <c r="B285" s="17">
        <f>('Q1'!W176-B$106)/B$107</f>
        <v>-0.16406618211430321</v>
      </c>
      <c r="C285" s="17">
        <f>('Q1'!X176-C$106)/C$107</f>
        <v>0.40614213081953082</v>
      </c>
      <c r="D285" s="17">
        <f>('Q1'!Y176-D$106)/D$107</f>
        <v>0.32037111901136806</v>
      </c>
      <c r="E285" s="17">
        <f>('Q1'!Z176-E$106)/E$107</f>
        <v>0.45889758864434288</v>
      </c>
      <c r="F285" s="17">
        <f>('Q1'!AA176-F$106)/F$107</f>
        <v>0.42572893694709457</v>
      </c>
      <c r="G285" s="17">
        <f>('Q1'!AB176-G$106)/G$107</f>
        <v>0.53287909654216359</v>
      </c>
      <c r="H285" s="17">
        <f>('Q1'!AC176-H$106)/H$107</f>
        <v>-0.32737965587216161</v>
      </c>
      <c r="I285" s="17">
        <f>('Q1'!AD176-I$106)/I$107</f>
        <v>1.4944787545209406</v>
      </c>
      <c r="J285" s="17">
        <f>('Q1'!AE176-J$106)/J$107</f>
        <v>0.42893545481373513</v>
      </c>
      <c r="K285" s="17">
        <f>('Q1'!AF176-K$106)/K$107</f>
        <v>0.47890273172512643</v>
      </c>
      <c r="L285" s="17">
        <f>('Q1'!AG176-L$106)/L$107</f>
        <v>0.1077612676216851</v>
      </c>
      <c r="M285" s="17">
        <f>('Q1'!AH176-M$106)/M$107</f>
        <v>-0.12654483707327424</v>
      </c>
      <c r="N285" s="17">
        <f>('Q1'!AI176-N$106)/N$107</f>
        <v>1.0079666764344863E-2</v>
      </c>
      <c r="O285" s="17">
        <f>('Q1'!AJ176-O$106)/O$107</f>
        <v>7.7759714708757297E-2</v>
      </c>
      <c r="P285" s="17">
        <f>('Q1'!AK176-P$106)/P$107</f>
        <v>0.4195877080227236</v>
      </c>
      <c r="Q285" s="17">
        <f>('Q1'!AL176-Q$106)/Q$107</f>
        <v>0.48029311179816175</v>
      </c>
      <c r="R285" s="17">
        <f>('Q1'!AM176-R$106)/R$107</f>
        <v>0.50638821649846089</v>
      </c>
      <c r="S285" s="17">
        <f>('Q1'!AN176-S$106)/S$107</f>
        <v>-4.9934227425273661E-2</v>
      </c>
    </row>
    <row r="286" spans="2:19">
      <c r="B286" s="17">
        <f>('Q1'!W177-B$106)/B$107</f>
        <v>-0.13349188067125656</v>
      </c>
      <c r="C286" s="17">
        <f>('Q1'!X177-C$106)/C$107</f>
        <v>0.44764318286704646</v>
      </c>
      <c r="D286" s="17">
        <f>('Q1'!Y177-D$106)/D$107</f>
        <v>2.8383372906430469E-2</v>
      </c>
      <c r="E286" s="17">
        <f>('Q1'!Z177-E$106)/E$107</f>
        <v>4.0621071388119833E-3</v>
      </c>
      <c r="F286" s="17">
        <f>('Q1'!AA177-F$106)/F$107</f>
        <v>-0.78508477445755021</v>
      </c>
      <c r="G286" s="17">
        <f>('Q1'!AB177-G$106)/G$107</f>
        <v>-0.58898380604347489</v>
      </c>
      <c r="H286" s="17">
        <f>('Q1'!AC177-H$106)/H$107</f>
        <v>-0.48544561979782236</v>
      </c>
      <c r="I286" s="17">
        <f>('Q1'!AD177-I$106)/I$107</f>
        <v>2.7036624239313033E-4</v>
      </c>
      <c r="J286" s="17">
        <f>('Q1'!AE177-J$106)/J$107</f>
        <v>-0.47015472500535965</v>
      </c>
      <c r="K286" s="17">
        <f>('Q1'!AF177-K$106)/K$107</f>
        <v>3.3519544779542207E-2</v>
      </c>
      <c r="L286" s="17">
        <f>('Q1'!AG177-L$106)/L$107</f>
        <v>-0.3674103953934299</v>
      </c>
      <c r="M286" s="17">
        <f>('Q1'!AH177-M$106)/M$107</f>
        <v>-0.99938814342381566</v>
      </c>
      <c r="N286" s="17">
        <f>('Q1'!AI177-N$106)/N$107</f>
        <v>6.7971762278406941E-2</v>
      </c>
      <c r="O286" s="17">
        <f>('Q1'!AJ177-O$106)/O$107</f>
        <v>-1.0568278376409712</v>
      </c>
      <c r="P286" s="17">
        <f>('Q1'!AK177-P$106)/P$107</f>
        <v>-0.34328969731056946</v>
      </c>
      <c r="Q286" s="17">
        <f>('Q1'!AL177-Q$106)/Q$107</f>
        <v>-0.5532758455981629</v>
      </c>
      <c r="R286" s="17">
        <f>('Q1'!AM177-R$106)/R$107</f>
        <v>0.18525568777974469</v>
      </c>
      <c r="S286" s="17">
        <f>('Q1'!AN177-S$106)/S$107</f>
        <v>-0.19304033221535691</v>
      </c>
    </row>
    <row r="287" spans="2:19">
      <c r="B287" s="17">
        <f>('Q1'!W178-B$106)/B$107</f>
        <v>0.2600526476368179</v>
      </c>
      <c r="C287" s="17">
        <f>('Q1'!X178-C$106)/C$107</f>
        <v>-6.1700962491959355E-3</v>
      </c>
      <c r="D287" s="17">
        <f>('Q1'!Y178-D$106)/D$107</f>
        <v>-8.1242804494756016E-2</v>
      </c>
      <c r="E287" s="17">
        <f>('Q1'!Z178-E$106)/E$107</f>
        <v>0.25928958971002192</v>
      </c>
      <c r="F287" s="17">
        <f>('Q1'!AA178-F$106)/F$107</f>
        <v>-0.3658273916397578</v>
      </c>
      <c r="G287" s="17">
        <f>('Q1'!AB178-G$106)/G$107</f>
        <v>-8.1959487790241037E-2</v>
      </c>
      <c r="H287" s="17">
        <f>('Q1'!AC178-H$106)/H$107</f>
        <v>0.43767193005207528</v>
      </c>
      <c r="I287" s="17">
        <f>('Q1'!AD178-I$106)/I$107</f>
        <v>0.68101381461323884</v>
      </c>
      <c r="J287" s="17">
        <f>('Q1'!AE178-J$106)/J$107</f>
        <v>0.59864772922744347</v>
      </c>
      <c r="K287" s="17">
        <f>('Q1'!AF178-K$106)/K$107</f>
        <v>0.14468254705853112</v>
      </c>
      <c r="L287" s="17">
        <f>('Q1'!AG178-L$106)/L$107</f>
        <v>0.18659102727327709</v>
      </c>
      <c r="M287" s="17">
        <f>('Q1'!AH178-M$106)/M$107</f>
        <v>1.3715346298773965</v>
      </c>
      <c r="N287" s="17">
        <f>('Q1'!AI178-N$106)/N$107</f>
        <v>0.16574846832507109</v>
      </c>
      <c r="O287" s="17">
        <f>('Q1'!AJ178-O$106)/O$107</f>
        <v>-0.19351626216565929</v>
      </c>
      <c r="P287" s="17">
        <f>('Q1'!AK178-P$106)/P$107</f>
        <v>0.41763578657204381</v>
      </c>
      <c r="Q287" s="17">
        <f>('Q1'!AL178-Q$106)/Q$107</f>
        <v>-0.58219881115608496</v>
      </c>
      <c r="R287" s="17">
        <f>('Q1'!AM178-R$106)/R$107</f>
        <v>9.2065166991991219E-3</v>
      </c>
      <c r="S287" s="17">
        <f>('Q1'!AN178-S$106)/S$107</f>
        <v>-1.9580007607685694</v>
      </c>
    </row>
    <row r="288" spans="2:19">
      <c r="B288" s="17">
        <f>('Q1'!W179-B$106)/B$107</f>
        <v>-0.12538801628253041</v>
      </c>
      <c r="C288" s="17">
        <f>('Q1'!X179-C$106)/C$107</f>
        <v>-0.15602398346824387</v>
      </c>
      <c r="D288" s="17">
        <f>('Q1'!Y179-D$106)/D$107</f>
        <v>-0.11155643472388123</v>
      </c>
      <c r="E288" s="17">
        <f>('Q1'!Z179-E$106)/E$107</f>
        <v>4.8049968088750977E-2</v>
      </c>
      <c r="F288" s="17">
        <f>('Q1'!AA179-F$106)/F$107</f>
        <v>0.18224726453301984</v>
      </c>
      <c r="G288" s="17">
        <f>('Q1'!AB179-G$106)/G$107</f>
        <v>0.881905501683101</v>
      </c>
      <c r="H288" s="17">
        <f>('Q1'!AC179-H$106)/H$107</f>
        <v>-2.7899148930162161E-2</v>
      </c>
      <c r="I288" s="17">
        <f>('Q1'!AD179-I$106)/I$107</f>
        <v>0.72043584039654884</v>
      </c>
      <c r="J288" s="17">
        <f>('Q1'!AE179-J$106)/J$107</f>
        <v>-1.8289263217257663E-2</v>
      </c>
      <c r="K288" s="17">
        <f>('Q1'!AF179-K$106)/K$107</f>
        <v>0.59441165311494359</v>
      </c>
      <c r="L288" s="17">
        <f>('Q1'!AG179-L$106)/L$107</f>
        <v>0.21973558625557682</v>
      </c>
      <c r="M288" s="17">
        <f>('Q1'!AH179-M$106)/M$107</f>
        <v>-0.15185078019755149</v>
      </c>
      <c r="N288" s="17">
        <f>('Q1'!AI179-N$106)/N$107</f>
        <v>0.19784451341672504</v>
      </c>
      <c r="O288" s="17">
        <f>('Q1'!AJ179-O$106)/O$107</f>
        <v>0.33962056205525121</v>
      </c>
      <c r="P288" s="17">
        <f>('Q1'!AK179-P$106)/P$107</f>
        <v>0.68208633565234589</v>
      </c>
      <c r="Q288" s="17">
        <f>('Q1'!AL179-Q$106)/Q$107</f>
        <v>0.67883823387111253</v>
      </c>
      <c r="R288" s="17">
        <f>('Q1'!AM179-R$106)/R$107</f>
        <v>7.8923661635646986E-2</v>
      </c>
      <c r="S288" s="17">
        <f>('Q1'!AN179-S$106)/S$107</f>
        <v>-0.28420587439003042</v>
      </c>
    </row>
    <row r="289" spans="2:19">
      <c r="B289" s="17">
        <f>('Q1'!W180-B$106)/B$107</f>
        <v>-0.18299094356236398</v>
      </c>
      <c r="C289" s="17">
        <f>('Q1'!X180-C$106)/C$107</f>
        <v>0.35905756555320945</v>
      </c>
      <c r="D289" s="17">
        <f>('Q1'!Y180-D$106)/D$107</f>
        <v>0.34575048374970996</v>
      </c>
      <c r="E289" s="17">
        <f>('Q1'!Z180-E$106)/E$107</f>
        <v>-1.9314870753642393E-3</v>
      </c>
      <c r="F289" s="17">
        <f>('Q1'!AA180-F$106)/F$107</f>
        <v>-0.73923177861865574</v>
      </c>
      <c r="G289" s="17">
        <f>('Q1'!AB180-G$106)/G$107</f>
        <v>2.6519593318846516E-2</v>
      </c>
      <c r="H289" s="17">
        <f>('Q1'!AC180-H$106)/H$107</f>
        <v>7.8366347742734196E-2</v>
      </c>
      <c r="I289" s="17">
        <f>('Q1'!AD180-I$106)/I$107</f>
        <v>-5.269079567873273E-3</v>
      </c>
      <c r="J289" s="17">
        <f>('Q1'!AE180-J$106)/J$107</f>
        <v>8.6177831799343282E-2</v>
      </c>
      <c r="K289" s="17">
        <f>('Q1'!AF180-K$106)/K$107</f>
        <v>7.5435384123121563E-2</v>
      </c>
      <c r="L289" s="17">
        <f>('Q1'!AG180-L$106)/L$107</f>
        <v>-4.4223629815244567E-2</v>
      </c>
      <c r="M289" s="17">
        <f>('Q1'!AH180-M$106)/M$107</f>
        <v>0.34961817193778394</v>
      </c>
      <c r="N289" s="17">
        <f>('Q1'!AI180-N$106)/N$107</f>
        <v>3.7645823583519041E-2</v>
      </c>
      <c r="O289" s="17">
        <f>('Q1'!AJ180-O$106)/O$107</f>
        <v>-0.94127116893473606</v>
      </c>
      <c r="P289" s="17">
        <f>('Q1'!AK180-P$106)/P$107</f>
        <v>-0.84682886223459253</v>
      </c>
      <c r="Q289" s="17">
        <f>('Q1'!AL180-Q$106)/Q$107</f>
        <v>-0.82363385344821483</v>
      </c>
      <c r="R289" s="17">
        <f>('Q1'!AM180-R$106)/R$107</f>
        <v>-0.42782375745603657</v>
      </c>
      <c r="S289" s="17">
        <f>('Q1'!AN180-S$106)/S$107</f>
        <v>-0.1498032566424834</v>
      </c>
    </row>
    <row r="290" spans="2:19">
      <c r="B290" s="17">
        <f>('Q1'!W181-B$106)/B$107</f>
        <v>-0.5969647990826995</v>
      </c>
      <c r="C290" s="17">
        <f>('Q1'!X181-C$106)/C$107</f>
        <v>-1.4573161713338474</v>
      </c>
      <c r="D290" s="17">
        <f>('Q1'!Y181-D$106)/D$107</f>
        <v>-1.671959547902496</v>
      </c>
      <c r="E290" s="17">
        <f>('Q1'!Z181-E$106)/E$107</f>
        <v>-1.1610523524667644</v>
      </c>
      <c r="F290" s="17">
        <f>('Q1'!AA181-F$106)/F$107</f>
        <v>-2.827619857116233</v>
      </c>
      <c r="G290" s="17">
        <f>('Q1'!AB181-G$106)/G$107</f>
        <v>-0.25688176291813469</v>
      </c>
      <c r="H290" s="17">
        <f>('Q1'!AC181-H$106)/H$107</f>
        <v>-0.55427810737487027</v>
      </c>
      <c r="I290" s="17">
        <f>('Q1'!AD181-I$106)/I$107</f>
        <v>-1.618786069429041</v>
      </c>
      <c r="J290" s="17">
        <f>('Q1'!AE181-J$106)/J$107</f>
        <v>-0.35505880435883486</v>
      </c>
      <c r="K290" s="17">
        <f>('Q1'!AF181-K$106)/K$107</f>
        <v>-1.4630205350639981E-2</v>
      </c>
      <c r="L290" s="17">
        <f>('Q1'!AG181-L$106)/L$107</f>
        <v>-1.5900670880466017</v>
      </c>
      <c r="M290" s="17">
        <f>('Q1'!AH181-M$106)/M$107</f>
        <v>-0.54086540612638645</v>
      </c>
      <c r="N290" s="17">
        <f>('Q1'!AI181-N$106)/N$107</f>
        <v>-0.75564925338992428</v>
      </c>
      <c r="O290" s="17">
        <f>('Q1'!AJ181-O$106)/O$107</f>
        <v>-2.5924961644911355</v>
      </c>
      <c r="P290" s="17">
        <f>('Q1'!AK181-P$106)/P$107</f>
        <v>0.32235715059893244</v>
      </c>
      <c r="Q290" s="17">
        <f>('Q1'!AL181-Q$106)/Q$107</f>
        <v>0.94258312455588245</v>
      </c>
      <c r="R290" s="17">
        <f>('Q1'!AM181-R$106)/R$107</f>
        <v>-1.7737597635061302</v>
      </c>
      <c r="S290" s="17">
        <f>('Q1'!AN181-S$106)/S$107</f>
        <v>-0.71345560048853618</v>
      </c>
    </row>
    <row r="291" spans="2:19">
      <c r="B291" s="17">
        <f>('Q1'!W182-B$106)/B$107</f>
        <v>0.99671036031126303</v>
      </c>
      <c r="C291" s="17">
        <f>('Q1'!X182-C$106)/C$107</f>
        <v>0.30183650825039393</v>
      </c>
      <c r="D291" s="17">
        <f>('Q1'!Y182-D$106)/D$107</f>
        <v>1.4521454480398583</v>
      </c>
      <c r="E291" s="17">
        <f>('Q1'!Z182-E$106)/E$107</f>
        <v>0.97877696813670356</v>
      </c>
      <c r="F291" s="17">
        <f>('Q1'!AA182-F$106)/F$107</f>
        <v>1.0967223840473121</v>
      </c>
      <c r="G291" s="17">
        <f>('Q1'!AB182-G$106)/G$107</f>
        <v>-9.3935754972152632E-2</v>
      </c>
      <c r="H291" s="17">
        <f>('Q1'!AC182-H$106)/H$107</f>
        <v>0.59127373588744858</v>
      </c>
      <c r="I291" s="17">
        <f>('Q1'!AD182-I$106)/I$107</f>
        <v>0.18868118075568208</v>
      </c>
      <c r="J291" s="17">
        <f>('Q1'!AE182-J$106)/J$107</f>
        <v>0.47354645126555023</v>
      </c>
      <c r="K291" s="17">
        <f>('Q1'!AF182-K$106)/K$107</f>
        <v>1.5557028434179831</v>
      </c>
      <c r="L291" s="17">
        <f>('Q1'!AG182-L$106)/L$107</f>
        <v>3.802680591652368E-2</v>
      </c>
      <c r="M291" s="17">
        <f>('Q1'!AH182-M$106)/M$107</f>
        <v>1.075860723276777</v>
      </c>
      <c r="N291" s="17">
        <f>('Q1'!AI182-N$106)/N$107</f>
        <v>0.54864335903949535</v>
      </c>
      <c r="O291" s="17">
        <f>('Q1'!AJ182-O$106)/O$107</f>
        <v>1.4611607188577358</v>
      </c>
      <c r="P291" s="17">
        <f>('Q1'!AK182-P$106)/P$107</f>
        <v>0.63909396294877119</v>
      </c>
      <c r="Q291" s="17">
        <f>('Q1'!AL182-Q$106)/Q$107</f>
        <v>0.39478224641931581</v>
      </c>
      <c r="R291" s="17">
        <f>('Q1'!AM182-R$106)/R$107</f>
        <v>0.91542769395694701</v>
      </c>
      <c r="S291" s="17">
        <f>('Q1'!AN182-S$106)/S$107</f>
        <v>0.68694387390682621</v>
      </c>
    </row>
    <row r="292" spans="2:19">
      <c r="B292" s="17">
        <f>('Q1'!W183-B$106)/B$107</f>
        <v>-0.73408062147762332</v>
      </c>
      <c r="C292" s="17">
        <f>('Q1'!X183-C$106)/C$107</f>
        <v>-0.33327996636888052</v>
      </c>
      <c r="D292" s="17">
        <f>('Q1'!Y183-D$106)/D$107</f>
        <v>-0.26275773632325067</v>
      </c>
      <c r="E292" s="17">
        <f>('Q1'!Z183-E$106)/E$107</f>
        <v>-0.17172429821026497</v>
      </c>
      <c r="F292" s="17">
        <f>('Q1'!AA183-F$106)/F$107</f>
        <v>-0.62498452548593797</v>
      </c>
      <c r="G292" s="17">
        <f>('Q1'!AB183-G$106)/G$107</f>
        <v>7.1242164430055155E-2</v>
      </c>
      <c r="H292" s="17">
        <f>('Q1'!AC183-H$106)/H$107</f>
        <v>-0.57240674637580768</v>
      </c>
      <c r="I292" s="17">
        <f>('Q1'!AD183-I$106)/I$107</f>
        <v>-0.88676139383678043</v>
      </c>
      <c r="J292" s="17">
        <f>('Q1'!AE183-J$106)/J$107</f>
        <v>-0.4782683701594746</v>
      </c>
      <c r="K292" s="17">
        <f>('Q1'!AF183-K$106)/K$107</f>
        <v>0.30638592872634951</v>
      </c>
      <c r="L292" s="17">
        <f>('Q1'!AG183-L$106)/L$107</f>
        <v>-0.59005508380114713</v>
      </c>
      <c r="M292" s="17">
        <f>('Q1'!AH183-M$106)/M$107</f>
        <v>-0.23001382576649393</v>
      </c>
      <c r="N292" s="17">
        <f>('Q1'!AI183-N$106)/N$107</f>
        <v>-0.12474897734871924</v>
      </c>
      <c r="O292" s="17">
        <f>('Q1'!AJ183-O$106)/O$107</f>
        <v>-0.48904477698409543</v>
      </c>
      <c r="P292" s="17">
        <f>('Q1'!AK183-P$106)/P$107</f>
        <v>-0.48223603584133268</v>
      </c>
      <c r="Q292" s="17">
        <f>('Q1'!AL183-Q$106)/Q$107</f>
        <v>-0.33622589722505702</v>
      </c>
      <c r="R292" s="17">
        <f>('Q1'!AM183-R$106)/R$107</f>
        <v>-0.97441069536676495</v>
      </c>
      <c r="S292" s="17">
        <f>('Q1'!AN183-S$106)/S$107</f>
        <v>-0.12259979356192588</v>
      </c>
    </row>
    <row r="293" spans="2:19">
      <c r="B293" s="17">
        <f>('Q1'!W184-B$106)/B$107</f>
        <v>0.71397440132701961</v>
      </c>
      <c r="C293" s="17">
        <f>('Q1'!X184-C$106)/C$107</f>
        <v>0.25438057305976725</v>
      </c>
      <c r="D293" s="17">
        <f>('Q1'!Y184-D$106)/D$107</f>
        <v>0.39303090878551555</v>
      </c>
      <c r="E293" s="17">
        <f>('Q1'!Z184-E$106)/E$107</f>
        <v>0.2759503769112806</v>
      </c>
      <c r="F293" s="17">
        <f>('Q1'!AA184-F$106)/F$107</f>
        <v>1.0920546207347441</v>
      </c>
      <c r="G293" s="17">
        <f>('Q1'!AB184-G$106)/G$107</f>
        <v>-6.9460706182224136E-2</v>
      </c>
      <c r="H293" s="17">
        <f>('Q1'!AC184-H$106)/H$107</f>
        <v>0.2974238158413679</v>
      </c>
      <c r="I293" s="17">
        <f>('Q1'!AD184-I$106)/I$107</f>
        <v>-0.73286778260977792</v>
      </c>
      <c r="J293" s="17">
        <f>('Q1'!AE184-J$106)/J$107</f>
        <v>0.36042972818840224</v>
      </c>
      <c r="K293" s="17">
        <f>('Q1'!AF184-K$106)/K$107</f>
        <v>-0.47616001405905745</v>
      </c>
      <c r="L293" s="17">
        <f>('Q1'!AG184-L$106)/L$107</f>
        <v>-0.17693234175228217</v>
      </c>
      <c r="M293" s="17">
        <f>('Q1'!AH184-M$106)/M$107</f>
        <v>-0.33407392715853695</v>
      </c>
      <c r="N293" s="17">
        <f>('Q1'!AI184-N$106)/N$107</f>
        <v>3.7308341163058235E-2</v>
      </c>
      <c r="O293" s="17">
        <f>('Q1'!AJ184-O$106)/O$107</f>
        <v>0.97667813477601206</v>
      </c>
      <c r="P293" s="17">
        <f>('Q1'!AK184-P$106)/P$107</f>
        <v>-0.1807821649688291</v>
      </c>
      <c r="Q293" s="17">
        <f>('Q1'!AL184-Q$106)/Q$107</f>
        <v>0.8734431565803582</v>
      </c>
      <c r="R293" s="17">
        <f>('Q1'!AM184-R$106)/R$107</f>
        <v>2.297978279256812</v>
      </c>
      <c r="S293" s="17">
        <f>('Q1'!AN184-S$106)/S$107</f>
        <v>0.83898077749617006</v>
      </c>
    </row>
    <row r="294" spans="2:19">
      <c r="B294" s="17">
        <f>('Q1'!W185-B$106)/B$107</f>
        <v>0.3449867425850689</v>
      </c>
      <c r="C294" s="17">
        <f>('Q1'!X185-C$106)/C$107</f>
        <v>0.23135414998628742</v>
      </c>
      <c r="D294" s="17">
        <f>('Q1'!Y185-D$106)/D$107</f>
        <v>0.42257786664499641</v>
      </c>
      <c r="E294" s="17">
        <f>('Q1'!Z185-E$106)/E$107</f>
        <v>9.8239945151131561E-2</v>
      </c>
      <c r="F294" s="17">
        <f>('Q1'!AA185-F$106)/F$107</f>
        <v>-0.94881867779530482</v>
      </c>
      <c r="G294" s="17">
        <f>('Q1'!AB185-G$106)/G$107</f>
        <v>0.20554688715181252</v>
      </c>
      <c r="H294" s="17">
        <f>('Q1'!AC185-H$106)/H$107</f>
        <v>0.24328284978393636</v>
      </c>
      <c r="I294" s="17">
        <f>('Q1'!AD185-I$106)/I$107</f>
        <v>-0.2701830588804715</v>
      </c>
      <c r="J294" s="17">
        <f>('Q1'!AE185-J$106)/J$107</f>
        <v>0.3292363556926966</v>
      </c>
      <c r="K294" s="17">
        <f>('Q1'!AF185-K$106)/K$107</f>
        <v>0.33168184067213025</v>
      </c>
      <c r="L294" s="17">
        <f>('Q1'!AG185-L$106)/L$107</f>
        <v>0.20631141699795411</v>
      </c>
      <c r="M294" s="17">
        <f>('Q1'!AH185-M$106)/M$107</f>
        <v>0.34360652517145746</v>
      </c>
      <c r="N294" s="17">
        <f>('Q1'!AI185-N$106)/N$107</f>
        <v>7.034870569079979E-2</v>
      </c>
      <c r="O294" s="17">
        <f>('Q1'!AJ185-O$106)/O$107</f>
        <v>-0.8464932382497653</v>
      </c>
      <c r="P294" s="17">
        <f>('Q1'!AK185-P$106)/P$107</f>
        <v>0.13757721800789624</v>
      </c>
      <c r="Q294" s="17">
        <f>('Q1'!AL185-Q$106)/Q$107</f>
        <v>-3.235269258831474E-2</v>
      </c>
      <c r="R294" s="17">
        <f>('Q1'!AM185-R$106)/R$107</f>
        <v>-0.60586885435859794</v>
      </c>
      <c r="S294" s="17">
        <f>('Q1'!AN185-S$106)/S$107</f>
        <v>-0.2287378730568688</v>
      </c>
    </row>
    <row r="295" spans="2:19">
      <c r="B295" s="17">
        <f>('Q1'!W186-B$106)/B$107</f>
        <v>-7.8277992268353344E-2</v>
      </c>
      <c r="C295" s="17">
        <f>('Q1'!X186-C$106)/C$107</f>
        <v>0.19271422030830665</v>
      </c>
      <c r="D295" s="17">
        <f>('Q1'!Y186-D$106)/D$107</f>
        <v>0.22645598692620719</v>
      </c>
      <c r="E295" s="17">
        <f>('Q1'!Z186-E$106)/E$107</f>
        <v>0.16838546172417471</v>
      </c>
      <c r="F295" s="17">
        <f>('Q1'!AA186-F$106)/F$107</f>
        <v>-0.59191606331775637</v>
      </c>
      <c r="G295" s="17">
        <f>('Q1'!AB186-G$106)/G$107</f>
        <v>-1.3831493801757699E-2</v>
      </c>
      <c r="H295" s="17">
        <f>('Q1'!AC186-H$106)/H$107</f>
        <v>0.25623369121072465</v>
      </c>
      <c r="I295" s="17">
        <f>('Q1'!AD186-I$106)/I$107</f>
        <v>-0.18665140558602461</v>
      </c>
      <c r="J295" s="17">
        <f>('Q1'!AE186-J$106)/J$107</f>
        <v>0.20419931035336375</v>
      </c>
      <c r="K295" s="17">
        <f>('Q1'!AF186-K$106)/K$107</f>
        <v>-0.51589519664409555</v>
      </c>
      <c r="L295" s="17">
        <f>('Q1'!AG186-L$106)/L$107</f>
        <v>-0.39670861723369127</v>
      </c>
      <c r="M295" s="17">
        <f>('Q1'!AH186-M$106)/M$107</f>
        <v>-0.24540550068823205</v>
      </c>
      <c r="N295" s="17">
        <f>('Q1'!AI186-N$106)/N$107</f>
        <v>2.4599284471571229E-2</v>
      </c>
      <c r="O295" s="17">
        <f>('Q1'!AJ186-O$106)/O$107</f>
        <v>-0.5113688939839881</v>
      </c>
      <c r="P295" s="17">
        <f>('Q1'!AK186-P$106)/P$107</f>
        <v>-0.53339141101330856</v>
      </c>
      <c r="Q295" s="17">
        <f>('Q1'!AL186-Q$106)/Q$107</f>
        <v>-8.1928087785181694E-2</v>
      </c>
      <c r="R295" s="17">
        <f>('Q1'!AM186-R$106)/R$107</f>
        <v>-0.79434045601146774</v>
      </c>
      <c r="S295" s="17">
        <f>('Q1'!AN186-S$106)/S$107</f>
        <v>-0.56756485035617965</v>
      </c>
    </row>
    <row r="296" spans="2:19">
      <c r="B296" s="17">
        <f>('Q1'!W187-B$106)/B$107</f>
        <v>0.70172686553067054</v>
      </c>
      <c r="C296" s="17">
        <f>('Q1'!X187-C$106)/C$107</f>
        <v>0.39344445158988528</v>
      </c>
      <c r="D296" s="17">
        <f>('Q1'!Y187-D$106)/D$107</f>
        <v>5.7049924089977487E-3</v>
      </c>
      <c r="E296" s="17">
        <f>('Q1'!Z187-E$106)/E$107</f>
        <v>0.47658221129480893</v>
      </c>
      <c r="F296" s="17">
        <f>('Q1'!AA187-F$106)/F$107</f>
        <v>-0.98551856550203831</v>
      </c>
      <c r="G296" s="17">
        <f>('Q1'!AB187-G$106)/G$107</f>
        <v>0.15131134583620745</v>
      </c>
      <c r="H296" s="17">
        <f>('Q1'!AC187-H$106)/H$107</f>
        <v>-0.41633710131851903</v>
      </c>
      <c r="I296" s="17">
        <f>('Q1'!AD187-I$106)/I$107</f>
        <v>-0.53650748286440575</v>
      </c>
      <c r="J296" s="17">
        <f>('Q1'!AE187-J$106)/J$107</f>
        <v>-3.0763546536118191E-2</v>
      </c>
      <c r="K296" s="17">
        <f>('Q1'!AF187-K$106)/K$107</f>
        <v>1.1791876911210819</v>
      </c>
      <c r="L296" s="17">
        <f>('Q1'!AG187-L$106)/L$107</f>
        <v>-0.31477401916864717</v>
      </c>
      <c r="M296" s="17">
        <f>('Q1'!AH187-M$106)/M$107</f>
        <v>-0.38000272316085415</v>
      </c>
      <c r="N296" s="17">
        <f>('Q1'!AI187-N$106)/N$107</f>
        <v>0.2316102774886829</v>
      </c>
      <c r="O296" s="17">
        <f>('Q1'!AJ187-O$106)/O$107</f>
        <v>-0.87866298414891519</v>
      </c>
      <c r="P296" s="17">
        <f>('Q1'!AK187-P$106)/P$107</f>
        <v>-0.53087095449590138</v>
      </c>
      <c r="Q296" s="17">
        <f>('Q1'!AL187-Q$106)/Q$107</f>
        <v>1.6678272076099836</v>
      </c>
      <c r="R296" s="17">
        <f>('Q1'!AM187-R$106)/R$107</f>
        <v>0.57076274378549763</v>
      </c>
      <c r="S296" s="17">
        <f>('Q1'!AN187-S$106)/S$107</f>
        <v>-0.15289144359501691</v>
      </c>
    </row>
    <row r="297" spans="2:19">
      <c r="B297" s="17">
        <f>('Q1'!W188-B$106)/B$107</f>
        <v>-0.99305463638053515</v>
      </c>
      <c r="C297" s="17">
        <f>('Q1'!X188-C$106)/C$107</f>
        <v>-0.87271101284761998</v>
      </c>
      <c r="D297" s="17">
        <f>('Q1'!Y188-D$106)/D$107</f>
        <v>-0.81775958678739413</v>
      </c>
      <c r="E297" s="17">
        <f>('Q1'!Z188-E$106)/E$107</f>
        <v>-0.74940837248535042</v>
      </c>
      <c r="F297" s="17">
        <f>('Q1'!AA188-F$106)/F$107</f>
        <v>-0.50457021547231551</v>
      </c>
      <c r="G297" s="17">
        <f>('Q1'!AB188-G$106)/G$107</f>
        <v>-1.2545062403067191</v>
      </c>
      <c r="H297" s="17">
        <f>('Q1'!AC188-H$106)/H$107</f>
        <v>-1.8273551078896582</v>
      </c>
      <c r="I297" s="17">
        <f>('Q1'!AD188-I$106)/I$107</f>
        <v>-1.5483357609612192</v>
      </c>
      <c r="J297" s="17">
        <f>('Q1'!AE188-J$106)/J$107</f>
        <v>-0.565074884592215</v>
      </c>
      <c r="K297" s="17">
        <f>('Q1'!AF188-K$106)/K$107</f>
        <v>-1.8273696678566125</v>
      </c>
      <c r="L297" s="17">
        <f>('Q1'!AG188-L$106)/L$107</f>
        <v>-2.2404036825638525E-2</v>
      </c>
      <c r="M297" s="17">
        <f>('Q1'!AH188-M$106)/M$107</f>
        <v>-0.83703754303613831</v>
      </c>
      <c r="N297" s="17">
        <f>('Q1'!AI188-N$106)/N$107</f>
        <v>-1.0637217702390063</v>
      </c>
      <c r="O297" s="17">
        <f>('Q1'!AJ188-O$106)/O$107</f>
        <v>-0.23674814327232904</v>
      </c>
      <c r="P297" s="17">
        <f>('Q1'!AK188-P$106)/P$107</f>
        <v>-0.8697758664691031</v>
      </c>
      <c r="Q297" s="17">
        <f>('Q1'!AL188-Q$106)/Q$107</f>
        <v>-0.50965983837600548</v>
      </c>
      <c r="R297" s="17">
        <f>('Q1'!AM188-R$106)/R$107</f>
        <v>-0.99867231572293413</v>
      </c>
      <c r="S297" s="17">
        <f>('Q1'!AN188-S$106)/S$107</f>
        <v>-1.3057208001351341</v>
      </c>
    </row>
    <row r="298" spans="2:19">
      <c r="B298" s="17">
        <f>('Q1'!W189-B$106)/B$107</f>
        <v>-0.64123503681922234</v>
      </c>
      <c r="C298" s="17">
        <f>('Q1'!X189-C$106)/C$107</f>
        <v>-0.51391751048084389</v>
      </c>
      <c r="D298" s="17">
        <f>('Q1'!Y189-D$106)/D$107</f>
        <v>-0.70347728352102212</v>
      </c>
      <c r="E298" s="17">
        <f>('Q1'!Z189-E$106)/E$107</f>
        <v>-0.64591961287272703</v>
      </c>
      <c r="F298" s="17">
        <f>('Q1'!AA189-F$106)/F$107</f>
        <v>-6.0596066026648325E-3</v>
      </c>
      <c r="G298" s="17">
        <f>('Q1'!AB189-G$106)/G$107</f>
        <v>-1.0444355149040787</v>
      </c>
      <c r="H298" s="17">
        <f>('Q1'!AC189-H$106)/H$107</f>
        <v>-1.3392397710912498</v>
      </c>
      <c r="I298" s="17">
        <f>('Q1'!AD189-I$106)/I$107</f>
        <v>0.2048658747705856</v>
      </c>
      <c r="J298" s="17">
        <f>('Q1'!AE189-J$106)/J$107</f>
        <v>-0.648989224909713</v>
      </c>
      <c r="K298" s="17">
        <f>('Q1'!AF189-K$106)/K$107</f>
        <v>-0.35721790359874367</v>
      </c>
      <c r="L298" s="17">
        <f>('Q1'!AG189-L$106)/L$107</f>
        <v>-0.49282680590086991</v>
      </c>
      <c r="M298" s="17">
        <f>('Q1'!AH189-M$106)/M$107</f>
        <v>-0.35292612549123414</v>
      </c>
      <c r="N298" s="17">
        <f>('Q1'!AI189-N$106)/N$107</f>
        <v>-0.48968646974539032</v>
      </c>
      <c r="O298" s="17">
        <f>('Q1'!AJ189-O$106)/O$107</f>
        <v>-0.2948292288227144</v>
      </c>
      <c r="P298" s="17">
        <f>('Q1'!AK189-P$106)/P$107</f>
        <v>-0.39035441595698933</v>
      </c>
      <c r="Q298" s="17">
        <f>('Q1'!AL189-Q$106)/Q$107</f>
        <v>-0.18570132046517501</v>
      </c>
      <c r="R298" s="17">
        <f>('Q1'!AM189-R$106)/R$107</f>
        <v>0.146168734502863</v>
      </c>
      <c r="S298" s="17">
        <f>('Q1'!AN189-S$106)/S$107</f>
        <v>-0.25698908524082364</v>
      </c>
    </row>
    <row r="299" spans="2:19">
      <c r="B299" s="17">
        <f>('Q1'!W190-B$106)/B$107</f>
        <v>-0.37208078606425543</v>
      </c>
      <c r="C299" s="17">
        <f>('Q1'!X190-C$106)/C$107</f>
        <v>0.63624353824223168</v>
      </c>
      <c r="D299" s="17">
        <f>('Q1'!Y190-D$106)/D$107</f>
        <v>0.50564016759670116</v>
      </c>
      <c r="E299" s="17">
        <f>('Q1'!Z190-E$106)/E$107</f>
        <v>0.59230218211931296</v>
      </c>
      <c r="F299" s="17">
        <f>('Q1'!AA190-F$106)/F$107</f>
        <v>0.75170507371584905</v>
      </c>
      <c r="G299" s="17">
        <f>('Q1'!AB190-G$106)/G$107</f>
        <v>-7.8009387639376052E-2</v>
      </c>
      <c r="H299" s="17">
        <f>('Q1'!AC190-H$106)/H$107</f>
        <v>0.57858744188078615</v>
      </c>
      <c r="I299" s="17">
        <f>('Q1'!AD190-I$106)/I$107</f>
        <v>1.0661943997969459</v>
      </c>
      <c r="J299" s="17">
        <f>('Q1'!AE190-J$106)/J$107</f>
        <v>1.0521910379957604</v>
      </c>
      <c r="K299" s="17">
        <f>('Q1'!AF190-K$106)/K$107</f>
        <v>1.2002094769167329</v>
      </c>
      <c r="L299" s="17">
        <f>('Q1'!AG190-L$106)/L$107</f>
        <v>-0.24869375645853567</v>
      </c>
      <c r="M299" s="17">
        <f>('Q1'!AH190-M$106)/M$107</f>
        <v>1.1732235110159206</v>
      </c>
      <c r="N299" s="17">
        <f>('Q1'!AI190-N$106)/N$107</f>
        <v>0.5372536505015858</v>
      </c>
      <c r="O299" s="17">
        <f>('Q1'!AJ190-O$106)/O$107</f>
        <v>0.43965129888667115</v>
      </c>
      <c r="P299" s="17">
        <f>('Q1'!AK190-P$106)/P$107</f>
        <v>0.52116755054521635</v>
      </c>
      <c r="Q299" s="17">
        <f>('Q1'!AL190-Q$106)/Q$107</f>
        <v>1.5709612622811306</v>
      </c>
      <c r="R299" s="17">
        <f>('Q1'!AM190-R$106)/R$107</f>
        <v>2.2116120458381001</v>
      </c>
      <c r="S299" s="17">
        <f>('Q1'!AN190-S$106)/S$107</f>
        <v>-0.56456822776714333</v>
      </c>
    </row>
    <row r="300" spans="2:19">
      <c r="B300" s="17">
        <f>('Q1'!W191-B$106)/B$107</f>
        <v>-0.51648241987305776</v>
      </c>
      <c r="C300" s="17">
        <f>('Q1'!X191-C$106)/C$107</f>
        <v>0.25811057620532174</v>
      </c>
      <c r="D300" s="17">
        <f>('Q1'!Y191-D$106)/D$107</f>
        <v>0.4056387950706013</v>
      </c>
      <c r="E300" s="17">
        <f>('Q1'!Z191-E$106)/E$107</f>
        <v>0.1324288383253989</v>
      </c>
      <c r="F300" s="17">
        <f>('Q1'!AA191-F$106)/F$107</f>
        <v>-0.13032952582015245</v>
      </c>
      <c r="G300" s="17">
        <f>('Q1'!AB191-G$106)/G$107</f>
        <v>-1.8948439818642531</v>
      </c>
      <c r="H300" s="17">
        <f>('Q1'!AC191-H$106)/H$107</f>
        <v>6.3411549902703188E-2</v>
      </c>
      <c r="I300" s="17">
        <f>('Q1'!AD191-I$106)/I$107</f>
        <v>-0.37255183677000053</v>
      </c>
      <c r="J300" s="17">
        <f>('Q1'!AE191-J$106)/J$107</f>
        <v>0.23584331678159104</v>
      </c>
      <c r="K300" s="17">
        <f>('Q1'!AF191-K$106)/K$107</f>
        <v>-0.58070791437404401</v>
      </c>
      <c r="L300" s="17">
        <f>('Q1'!AG191-L$106)/L$107</f>
        <v>-0.32270366705379577</v>
      </c>
      <c r="M300" s="17">
        <f>('Q1'!AH191-M$106)/M$107</f>
        <v>0.56874225751143292</v>
      </c>
      <c r="N300" s="17">
        <f>('Q1'!AI191-N$106)/N$107</f>
        <v>9.5955212757581329E-2</v>
      </c>
      <c r="O300" s="17">
        <f>('Q1'!AJ191-O$106)/O$107</f>
        <v>-8.4176951168767958E-2</v>
      </c>
      <c r="P300" s="17">
        <f>('Q1'!AK191-P$106)/P$107</f>
        <v>-0.32391633807910769</v>
      </c>
      <c r="Q300" s="17">
        <f>('Q1'!AL191-Q$106)/Q$107</f>
        <v>0.31548248140656449</v>
      </c>
      <c r="R300" s="17">
        <f>('Q1'!AM191-R$106)/R$107</f>
        <v>0.25559772749821297</v>
      </c>
      <c r="S300" s="17">
        <f>('Q1'!AN191-S$106)/S$107</f>
        <v>-0.16113874188863436</v>
      </c>
    </row>
    <row r="301" spans="2:19">
      <c r="B301" s="17">
        <f>('Q1'!W192-B$106)/B$107</f>
        <v>-0.33220509279514521</v>
      </c>
      <c r="C301" s="17">
        <f>('Q1'!X192-C$106)/C$107</f>
        <v>-0.40444208957563133</v>
      </c>
      <c r="D301" s="17">
        <f>('Q1'!Y192-D$106)/D$107</f>
        <v>-0.2430255730219345</v>
      </c>
      <c r="E301" s="17">
        <f>('Q1'!Z192-E$106)/E$107</f>
        <v>-0.39588735179019441</v>
      </c>
      <c r="F301" s="17">
        <f>('Q1'!AA192-F$106)/F$107</f>
        <v>-0.46956918654134971</v>
      </c>
      <c r="G301" s="17">
        <f>('Q1'!AB192-G$106)/G$107</f>
        <v>-0.89260306441240456</v>
      </c>
      <c r="H301" s="17">
        <f>('Q1'!AC192-H$106)/H$107</f>
        <v>-0.68623696106365495</v>
      </c>
      <c r="I301" s="17">
        <f>('Q1'!AD192-I$106)/I$107</f>
        <v>1.0533097456086531</v>
      </c>
      <c r="J301" s="17">
        <f>('Q1'!AE192-J$106)/J$107</f>
        <v>-0.38304303750243685</v>
      </c>
      <c r="K301" s="17">
        <f>('Q1'!AF192-K$106)/K$107</f>
        <v>-0.18338607821250735</v>
      </c>
      <c r="L301" s="17">
        <f>('Q1'!AG192-L$106)/L$107</f>
        <v>-0.44199471328266748</v>
      </c>
      <c r="M301" s="17">
        <f>('Q1'!AH192-M$106)/M$107</f>
        <v>-0.53309649285425542</v>
      </c>
      <c r="N301" s="17">
        <f>('Q1'!AI192-N$106)/N$107</f>
        <v>-0.19799480730856969</v>
      </c>
      <c r="O301" s="17">
        <f>('Q1'!AJ192-O$106)/O$107</f>
        <v>-0.7471268905602706</v>
      </c>
      <c r="P301" s="17">
        <f>('Q1'!AK192-P$106)/P$107</f>
        <v>-1.1954703212221713</v>
      </c>
      <c r="Q301" s="17">
        <f>('Q1'!AL192-Q$106)/Q$107</f>
        <v>-4.0027574436784827E-2</v>
      </c>
      <c r="R301" s="17">
        <f>('Q1'!AM192-R$106)/R$107</f>
        <v>0.19557512439806984</v>
      </c>
      <c r="S301" s="17">
        <f>('Q1'!AN192-S$106)/S$107</f>
        <v>-0.14639141354303159</v>
      </c>
    </row>
    <row r="302" spans="2:19">
      <c r="B302" s="17">
        <f>('Q1'!W193-B$106)/B$107</f>
        <v>-1.4467960745720607</v>
      </c>
      <c r="C302" s="17">
        <f>('Q1'!X193-C$106)/C$107</f>
        <v>-1.5187751978094433</v>
      </c>
      <c r="D302" s="17">
        <f>('Q1'!Y193-D$106)/D$107</f>
        <v>-1.2933249426461013</v>
      </c>
      <c r="E302" s="17">
        <f>('Q1'!Z193-E$106)/E$107</f>
        <v>-1.546593241898224</v>
      </c>
      <c r="F302" s="17">
        <f>('Q1'!AA193-F$106)/F$107</f>
        <v>-0.89862102016307388</v>
      </c>
      <c r="G302" s="17">
        <f>('Q1'!AB193-G$106)/G$107</f>
        <v>1.2226649777893495</v>
      </c>
      <c r="H302" s="17">
        <f>('Q1'!AC193-H$106)/H$107</f>
        <v>3.1817417567992577E-2</v>
      </c>
      <c r="I302" s="17">
        <f>('Q1'!AD193-I$106)/I$107</f>
        <v>0.41634182375401496</v>
      </c>
      <c r="J302" s="17">
        <f>('Q1'!AE193-J$106)/J$107</f>
        <v>-1.4415218479252163</v>
      </c>
      <c r="K302" s="17">
        <f>('Q1'!AF193-K$106)/K$107</f>
        <v>-0.98400407639592979</v>
      </c>
      <c r="L302" s="17">
        <f>('Q1'!AG193-L$106)/L$107</f>
        <v>-2.6767875347714103</v>
      </c>
      <c r="M302" s="17">
        <f>('Q1'!AH193-M$106)/M$107</f>
        <v>-0.21470831670430535</v>
      </c>
      <c r="N302" s="17">
        <f>('Q1'!AI193-N$106)/N$107</f>
        <v>-1.0338606872506431</v>
      </c>
      <c r="O302" s="17">
        <f>('Q1'!AJ193-O$106)/O$107</f>
        <v>-0.65237583350219686</v>
      </c>
      <c r="P302" s="17">
        <f>('Q1'!AK193-P$106)/P$107</f>
        <v>-0.91353241891249415</v>
      </c>
      <c r="Q302" s="17">
        <f>('Q1'!AL193-Q$106)/Q$107</f>
        <v>-1.198741293582277</v>
      </c>
      <c r="R302" s="17">
        <f>('Q1'!AM193-R$106)/R$107</f>
        <v>-0.2371656070343808</v>
      </c>
      <c r="S302" s="17">
        <f>('Q1'!AN193-S$106)/S$107</f>
        <v>-1.3917065012284044</v>
      </c>
    </row>
    <row r="303" spans="2:19">
      <c r="B303" s="17">
        <f>('Q1'!W194-B$106)/B$107</f>
        <v>-1.0865916379062786</v>
      </c>
      <c r="C303" s="17">
        <f>('Q1'!X194-C$106)/C$107</f>
        <v>-1.1302652901995969</v>
      </c>
      <c r="D303" s="17">
        <f>('Q1'!Y194-D$106)/D$107</f>
        <v>-0.68703058999531808</v>
      </c>
      <c r="E303" s="17">
        <f>('Q1'!Z194-E$106)/E$107</f>
        <v>-0.76714288008019371</v>
      </c>
      <c r="F303" s="17">
        <f>('Q1'!AA194-F$106)/F$107</f>
        <v>0.3960076854883457</v>
      </c>
      <c r="G303" s="17">
        <f>('Q1'!AB194-G$106)/G$107</f>
        <v>0.46597352970395867</v>
      </c>
      <c r="H303" s="17">
        <f>('Q1'!AC194-H$106)/H$107</f>
        <v>0.31938983013598382</v>
      </c>
      <c r="I303" s="17">
        <f>('Q1'!AD194-I$106)/I$107</f>
        <v>-0.31774365169573476</v>
      </c>
      <c r="J303" s="17">
        <f>('Q1'!AE194-J$106)/J$107</f>
        <v>-0.16087664641651425</v>
      </c>
      <c r="K303" s="17">
        <f>('Q1'!AF194-K$106)/K$107</f>
        <v>-0.51209272697353136</v>
      </c>
      <c r="L303" s="17">
        <f>('Q1'!AG194-L$106)/L$107</f>
        <v>0.36279619781660394</v>
      </c>
      <c r="M303" s="17">
        <f>('Q1'!AH194-M$106)/M$107</f>
        <v>-0.52615352693681305</v>
      </c>
      <c r="N303" s="17">
        <f>('Q1'!AI194-N$106)/N$107</f>
        <v>-0.91234803017567356</v>
      </c>
      <c r="O303" s="17">
        <f>('Q1'!AJ194-O$106)/O$107</f>
        <v>0.30626499744399577</v>
      </c>
      <c r="P303" s="17">
        <f>('Q1'!AK194-P$106)/P$107</f>
        <v>-0.29349471369526664</v>
      </c>
      <c r="Q303" s="17">
        <f>('Q1'!AL194-Q$106)/Q$107</f>
        <v>-0.62972443783032939</v>
      </c>
      <c r="R303" s="17">
        <f>('Q1'!AM194-R$106)/R$107</f>
        <v>-1.1025047515369815</v>
      </c>
      <c r="S303" s="17">
        <f>('Q1'!AN194-S$106)/S$107</f>
        <v>0.59953154793856611</v>
      </c>
    </row>
    <row r="304" spans="2:19">
      <c r="B304" s="17">
        <f>('Q1'!W195-B$106)/B$107</f>
        <v>-0.77943132545237592</v>
      </c>
      <c r="C304" s="17">
        <f>('Q1'!X195-C$106)/C$107</f>
        <v>0.63065392749634797</v>
      </c>
      <c r="D304" s="17">
        <f>('Q1'!Y195-D$106)/D$107</f>
        <v>0.48288336635887075</v>
      </c>
      <c r="E304" s="17">
        <f>('Q1'!Z195-E$106)/E$107</f>
        <v>0.61709420956427574</v>
      </c>
      <c r="F304" s="17">
        <f>('Q1'!AA195-F$106)/F$107</f>
        <v>1.2932159250027642</v>
      </c>
      <c r="G304" s="17">
        <f>('Q1'!AB195-G$106)/G$107</f>
        <v>8.4422391357658458E-2</v>
      </c>
      <c r="H304" s="17">
        <f>('Q1'!AC195-H$106)/H$107</f>
        <v>-0.66569896032127174</v>
      </c>
      <c r="I304" s="17">
        <f>('Q1'!AD195-I$106)/I$107</f>
        <v>0.3463870898474628</v>
      </c>
      <c r="J304" s="17">
        <f>('Q1'!AE195-J$106)/J$107</f>
        <v>1.3679362385505998</v>
      </c>
      <c r="K304" s="17">
        <f>('Q1'!AF195-K$106)/K$107</f>
        <v>8.1581701313812843E-2</v>
      </c>
      <c r="L304" s="17">
        <f>('Q1'!AG195-L$106)/L$107</f>
        <v>1.0422154125323839</v>
      </c>
      <c r="M304" s="17">
        <f>('Q1'!AH195-M$106)/M$107</f>
        <v>-0.1534407700636207</v>
      </c>
      <c r="N304" s="17">
        <f>('Q1'!AI195-N$106)/N$107</f>
        <v>0.34837054362620223</v>
      </c>
      <c r="O304" s="17">
        <f>('Q1'!AJ195-O$106)/O$107</f>
        <v>1.5388901954131711</v>
      </c>
      <c r="P304" s="17">
        <f>('Q1'!AK195-P$106)/P$107</f>
        <v>0.97258665371677255</v>
      </c>
      <c r="Q304" s="17">
        <f>('Q1'!AL195-Q$106)/Q$107</f>
        <v>0.41143467060142519</v>
      </c>
      <c r="R304" s="17">
        <f>('Q1'!AM195-R$106)/R$107</f>
        <v>1.0138568871171048</v>
      </c>
      <c r="S304" s="17">
        <f>('Q1'!AN195-S$106)/S$107</f>
        <v>2.2350558330706409</v>
      </c>
    </row>
    <row r="305" spans="2:19">
      <c r="B305" s="17">
        <f>('Q1'!W196-B$106)/B$107</f>
        <v>1.491702678639937</v>
      </c>
      <c r="C305" s="17">
        <f>('Q1'!X196-C$106)/C$107</f>
        <v>0.64105575156210048</v>
      </c>
      <c r="D305" s="17">
        <f>('Q1'!Y196-D$106)/D$107</f>
        <v>0.66363220977627591</v>
      </c>
      <c r="E305" s="17">
        <f>('Q1'!Z196-E$106)/E$107</f>
        <v>0.90797582673336674</v>
      </c>
      <c r="F305" s="17">
        <f>('Q1'!AA196-F$106)/F$107</f>
        <v>0.87599943913688716</v>
      </c>
      <c r="G305" s="17">
        <f>('Q1'!AB196-G$106)/G$107</f>
        <v>-0.81287704780330339</v>
      </c>
      <c r="H305" s="17">
        <f>('Q1'!AC196-H$106)/H$107</f>
        <v>1.0441194740491013</v>
      </c>
      <c r="I305" s="17">
        <f>('Q1'!AD196-I$106)/I$107</f>
        <v>-0.67283133939883288</v>
      </c>
      <c r="J305" s="17">
        <f>('Q1'!AE196-J$106)/J$107</f>
        <v>0.63573424557631952</v>
      </c>
      <c r="K305" s="17">
        <f>('Q1'!AF196-K$106)/K$107</f>
        <v>1.6438751738041388</v>
      </c>
      <c r="L305" s="17">
        <f>('Q1'!AG196-L$106)/L$107</f>
        <v>0.60900325149106416</v>
      </c>
      <c r="M305" s="17">
        <f>('Q1'!AH196-M$106)/M$107</f>
        <v>0.22142012186855281</v>
      </c>
      <c r="N305" s="17">
        <f>('Q1'!AI196-N$106)/N$107</f>
        <v>0.28606031541662769</v>
      </c>
      <c r="O305" s="17">
        <f>('Q1'!AJ196-O$106)/O$107</f>
        <v>0.3103784071511938</v>
      </c>
      <c r="P305" s="17">
        <f>('Q1'!AK196-P$106)/P$107</f>
        <v>-1.4984297035945038</v>
      </c>
      <c r="Q305" s="17">
        <f>('Q1'!AL196-Q$106)/Q$107</f>
        <v>0.69816074835513031</v>
      </c>
      <c r="R305" s="17">
        <f>('Q1'!AM196-R$106)/R$107</f>
        <v>-1.3597486234274425</v>
      </c>
      <c r="S305" s="17">
        <f>('Q1'!AN196-S$106)/S$107</f>
        <v>-0.60142013668376537</v>
      </c>
    </row>
    <row r="306" spans="2:19">
      <c r="B306" s="17">
        <f>('Q1'!W197-B$106)/B$107</f>
        <v>0.36586834037018345</v>
      </c>
      <c r="C306" s="17">
        <f>('Q1'!X197-C$106)/C$107</f>
        <v>5.0365303085519737E-2</v>
      </c>
      <c r="D306" s="17">
        <f>('Q1'!Y197-D$106)/D$107</f>
        <v>0.34778871148647927</v>
      </c>
      <c r="E306" s="17">
        <f>('Q1'!Z197-E$106)/E$107</f>
        <v>3.8762552953238182E-2</v>
      </c>
      <c r="F306" s="17">
        <f>('Q1'!AA197-F$106)/F$107</f>
        <v>-0.51800515083083942</v>
      </c>
      <c r="G306" s="17">
        <f>('Q1'!AB197-G$106)/G$107</f>
        <v>-1.3312006139508676</v>
      </c>
      <c r="H306" s="17">
        <f>('Q1'!AC197-H$106)/H$107</f>
        <v>-0.44486469653385019</v>
      </c>
      <c r="I306" s="17">
        <f>('Q1'!AD197-I$106)/I$107</f>
        <v>0.24025578226317329</v>
      </c>
      <c r="J306" s="17">
        <f>('Q1'!AE197-J$106)/J$107</f>
        <v>1.3855023325178446E-2</v>
      </c>
      <c r="K306" s="17">
        <f>('Q1'!AF197-K$106)/K$107</f>
        <v>0.93763736257351127</v>
      </c>
      <c r="L306" s="17">
        <f>('Q1'!AG197-L$106)/L$107</f>
        <v>-8.7439150118008534E-3</v>
      </c>
      <c r="M306" s="17">
        <f>('Q1'!AH197-M$106)/M$107</f>
        <v>-0.60379092331880435</v>
      </c>
      <c r="N306" s="17">
        <f>('Q1'!AI197-N$106)/N$107</f>
        <v>6.068491300734969E-2</v>
      </c>
      <c r="O306" s="17">
        <f>('Q1'!AJ197-O$106)/O$107</f>
        <v>-0.30839656969174434</v>
      </c>
      <c r="P306" s="17">
        <f>('Q1'!AK197-P$106)/P$107</f>
        <v>0.35728756177638643</v>
      </c>
      <c r="Q306" s="17">
        <f>('Q1'!AL197-Q$106)/Q$107</f>
        <v>0.5787122810919062</v>
      </c>
      <c r="R306" s="17">
        <f>('Q1'!AM197-R$106)/R$107</f>
        <v>0.6331840873012603</v>
      </c>
      <c r="S306" s="17">
        <f>('Q1'!AN197-S$106)/S$107</f>
        <v>0.64739839703205049</v>
      </c>
    </row>
    <row r="307" spans="2:19">
      <c r="B307" s="17">
        <f>('Q1'!W198-B$106)/B$107</f>
        <v>-2.3775840354054729</v>
      </c>
      <c r="C307" s="17">
        <f>('Q1'!X198-C$106)/C$107</f>
        <v>-1.0234299029448231</v>
      </c>
      <c r="D307" s="17">
        <f>('Q1'!Y198-D$106)/D$107</f>
        <v>-0.69316194373787632</v>
      </c>
      <c r="E307" s="17">
        <f>('Q1'!Z198-E$106)/E$107</f>
        <v>-0.79535356063749629</v>
      </c>
      <c r="F307" s="17">
        <f>('Q1'!AA198-F$106)/F$107</f>
        <v>-6.0931548017419054E-2</v>
      </c>
      <c r="G307" s="17">
        <f>('Q1'!AB198-G$106)/G$107</f>
        <v>1.9530345219942725E-2</v>
      </c>
      <c r="H307" s="17">
        <f>('Q1'!AC198-H$106)/H$107</f>
        <v>-0.36638703909577847</v>
      </c>
      <c r="I307" s="17">
        <f>('Q1'!AD198-I$106)/I$107</f>
        <v>0.73295318393202069</v>
      </c>
      <c r="J307" s="17">
        <f>('Q1'!AE198-J$106)/J$107</f>
        <v>-0.26790957322543263</v>
      </c>
      <c r="K307" s="17">
        <f>('Q1'!AF198-K$106)/K$107</f>
        <v>0.32534813163313009</v>
      </c>
      <c r="L307" s="17">
        <f>('Q1'!AG198-L$106)/L$107</f>
        <v>-0.96147246400445951</v>
      </c>
      <c r="M307" s="17">
        <f>('Q1'!AH198-M$106)/M$107</f>
        <v>-5.8060381219720875E-2</v>
      </c>
      <c r="N307" s="17">
        <f>('Q1'!AI198-N$106)/N$107</f>
        <v>-0.83752715076822593</v>
      </c>
      <c r="O307" s="17">
        <f>('Q1'!AJ198-O$106)/O$107</f>
        <v>-0.38007463575096379</v>
      </c>
      <c r="P307" s="17">
        <f>('Q1'!AK198-P$106)/P$107</f>
        <v>-0.56617563206389576</v>
      </c>
      <c r="Q307" s="17">
        <f>('Q1'!AL198-Q$106)/Q$107</f>
        <v>-0.24801802840267598</v>
      </c>
      <c r="R307" s="17">
        <f>('Q1'!AM198-R$106)/R$107</f>
        <v>-0.49587901612887936</v>
      </c>
      <c r="S307" s="17">
        <f>('Q1'!AN198-S$106)/S$107</f>
        <v>-0.14041637132840848</v>
      </c>
    </row>
    <row r="308" spans="2:19">
      <c r="B308" s="17">
        <f>('Q1'!W199-B$106)/B$107</f>
        <v>0.62408865769865807</v>
      </c>
      <c r="C308" s="17">
        <f>('Q1'!X199-C$106)/C$107</f>
        <v>0.77345369658661645</v>
      </c>
      <c r="D308" s="17">
        <f>('Q1'!Y199-D$106)/D$107</f>
        <v>0.21878829115839402</v>
      </c>
      <c r="E308" s="17">
        <f>('Q1'!Z199-E$106)/E$107</f>
        <v>0.26358208540521577</v>
      </c>
      <c r="F308" s="17">
        <f>('Q1'!AA199-F$106)/F$107</f>
        <v>-5.7836322336314253E-3</v>
      </c>
      <c r="G308" s="17">
        <f>('Q1'!AB199-G$106)/G$107</f>
        <v>0.53635234811709698</v>
      </c>
      <c r="H308" s="17">
        <f>('Q1'!AC199-H$106)/H$107</f>
        <v>-0.59404873072727249</v>
      </c>
      <c r="I308" s="17">
        <f>('Q1'!AD199-I$106)/I$107</f>
        <v>6.4963602070856705E-2</v>
      </c>
      <c r="J308" s="17">
        <f>('Q1'!AE199-J$106)/J$107</f>
        <v>0.99630428506452351</v>
      </c>
      <c r="K308" s="17">
        <f>('Q1'!AF199-K$106)/K$107</f>
        <v>0.72077520340951107</v>
      </c>
      <c r="L308" s="17">
        <f>('Q1'!AG199-L$106)/L$107</f>
        <v>0.61566476247926605</v>
      </c>
      <c r="M308" s="17">
        <f>('Q1'!AH199-M$106)/M$107</f>
        <v>0.6579475646608407</v>
      </c>
      <c r="N308" s="17">
        <f>('Q1'!AI199-N$106)/N$107</f>
        <v>4.5201029393820889E-2</v>
      </c>
      <c r="O308" s="17">
        <f>('Q1'!AJ199-O$106)/O$107</f>
        <v>6.3439648498974238E-2</v>
      </c>
      <c r="P308" s="17">
        <f>('Q1'!AK199-P$106)/P$107</f>
        <v>0.58133935160207828</v>
      </c>
      <c r="Q308" s="17">
        <f>('Q1'!AL199-Q$106)/Q$107</f>
        <v>0.30142983403472506</v>
      </c>
      <c r="R308" s="17">
        <f>('Q1'!AM199-R$106)/R$107</f>
        <v>1.1933259394605276</v>
      </c>
      <c r="S308" s="17">
        <f>('Q1'!AN199-S$106)/S$107</f>
        <v>0.71406866360172205</v>
      </c>
    </row>
    <row r="309" spans="2:19">
      <c r="B309" s="17">
        <f>('Q1'!W200-B$106)/B$107</f>
        <v>0.79942520222685021</v>
      </c>
      <c r="C309" s="17">
        <f>('Q1'!X200-C$106)/C$107</f>
        <v>0.93856169096391961</v>
      </c>
      <c r="D309" s="17">
        <f>('Q1'!Y200-D$106)/D$107</f>
        <v>0.61873483573209576</v>
      </c>
      <c r="E309" s="17">
        <f>('Q1'!Z200-E$106)/E$107</f>
        <v>0.78042153516767354</v>
      </c>
      <c r="F309" s="17">
        <f>('Q1'!AA200-F$106)/F$107</f>
        <v>0.46259643253764682</v>
      </c>
      <c r="G309" s="17">
        <f>('Q1'!AB200-G$106)/G$107</f>
        <v>1.7755932945279812E-3</v>
      </c>
      <c r="H309" s="17">
        <f>('Q1'!AC200-H$106)/H$107</f>
        <v>0.88959707960972867</v>
      </c>
      <c r="I309" s="17">
        <f>('Q1'!AD200-I$106)/I$107</f>
        <v>0.40408163188196589</v>
      </c>
      <c r="J309" s="17">
        <f>('Q1'!AE200-J$106)/J$107</f>
        <v>8.0004118213606479E-2</v>
      </c>
      <c r="K309" s="17">
        <f>('Q1'!AF200-K$106)/K$107</f>
        <v>-1.0038788443959639</v>
      </c>
      <c r="L309" s="17">
        <f>('Q1'!AG200-L$106)/L$107</f>
        <v>7.4015558349339927E-2</v>
      </c>
      <c r="M309" s="17">
        <f>('Q1'!AH200-M$106)/M$107</f>
        <v>-6.4542805282999799E-2</v>
      </c>
      <c r="N309" s="17">
        <f>('Q1'!AI200-N$106)/N$107</f>
        <v>0.5934669379329669</v>
      </c>
      <c r="O309" s="17">
        <f>('Q1'!AJ200-O$106)/O$107</f>
        <v>0.34059471294210408</v>
      </c>
      <c r="P309" s="17">
        <f>('Q1'!AK200-P$106)/P$107</f>
        <v>-6.9095286968342287E-2</v>
      </c>
      <c r="Q309" s="17">
        <f>('Q1'!AL200-Q$106)/Q$107</f>
        <v>-6.3810268249477817E-2</v>
      </c>
      <c r="R309" s="17">
        <f>('Q1'!AM200-R$106)/R$107</f>
        <v>2.2107805870343455E-2</v>
      </c>
      <c r="S309" s="17">
        <f>('Q1'!AN200-S$106)/S$107</f>
        <v>-0.24623535300385122</v>
      </c>
    </row>
    <row r="310" spans="2:19">
      <c r="B310" s="17">
        <f>('Q1'!W201-B$106)/B$107</f>
        <v>-0.3958001874859276</v>
      </c>
      <c r="C310" s="17">
        <f>('Q1'!X201-C$106)/C$107</f>
        <v>-0.32677009548211544</v>
      </c>
      <c r="D310" s="17">
        <f>('Q1'!Y201-D$106)/D$107</f>
        <v>-0.28701397070469853</v>
      </c>
      <c r="E310" s="17">
        <f>('Q1'!Z201-E$106)/E$107</f>
        <v>-0.11599729329900693</v>
      </c>
      <c r="F310" s="17">
        <f>('Q1'!AA201-F$106)/F$107</f>
        <v>-0.32545999035896639</v>
      </c>
      <c r="G310" s="17">
        <f>('Q1'!AB201-G$106)/G$107</f>
        <v>0.11312928056669617</v>
      </c>
      <c r="H310" s="17">
        <f>('Q1'!AC201-H$106)/H$107</f>
        <v>-6.6396485983416909E-2</v>
      </c>
      <c r="I310" s="17">
        <f>('Q1'!AD201-I$106)/I$107</f>
        <v>0.40126939266956696</v>
      </c>
      <c r="J310" s="17">
        <f>('Q1'!AE201-J$106)/J$107</f>
        <v>-0.13803366721221905</v>
      </c>
      <c r="K310" s="17">
        <f>('Q1'!AF201-K$106)/K$107</f>
        <v>-0.37559464923644553</v>
      </c>
      <c r="L310" s="17">
        <f>('Q1'!AG201-L$106)/L$107</f>
        <v>-0.37890963664284122</v>
      </c>
      <c r="M310" s="17">
        <f>('Q1'!AH201-M$106)/M$107</f>
        <v>-0.82818213384768302</v>
      </c>
      <c r="N310" s="17">
        <f>('Q1'!AI201-N$106)/N$107</f>
        <v>-1.5809059007311674</v>
      </c>
      <c r="O310" s="17">
        <f>('Q1'!AJ201-O$106)/O$107</f>
        <v>-0.22065111059028117</v>
      </c>
      <c r="P310" s="17">
        <f>('Q1'!AK201-P$106)/P$107</f>
        <v>0.41144982052086487</v>
      </c>
      <c r="Q310" s="17">
        <f>('Q1'!AL201-Q$106)/Q$107</f>
        <v>0.52230852021585361</v>
      </c>
      <c r="R310" s="17">
        <f>('Q1'!AM201-R$106)/R$107</f>
        <v>-4.1208343057206866E-2</v>
      </c>
      <c r="S310" s="17">
        <f>('Q1'!AN201-S$106)/S$107</f>
        <v>2.1785090361384835E-2</v>
      </c>
    </row>
    <row r="311" spans="2:19">
      <c r="B311" s="17">
        <f>('Q1'!W202-B$106)/B$107</f>
        <v>0.43358024905114606</v>
      </c>
      <c r="C311" s="17">
        <f>('Q1'!X202-C$106)/C$107</f>
        <v>0.39918245735260083</v>
      </c>
      <c r="D311" s="17">
        <f>('Q1'!Y202-D$106)/D$107</f>
        <v>0.34422001005761421</v>
      </c>
      <c r="E311" s="17">
        <f>('Q1'!Z202-E$106)/E$107</f>
        <v>0.32504147987344234</v>
      </c>
      <c r="F311" s="17">
        <f>('Q1'!AA202-F$106)/F$107</f>
        <v>-0.59555972273923263</v>
      </c>
      <c r="G311" s="17">
        <f>('Q1'!AB202-G$106)/G$107</f>
        <v>-0.10996625986825272</v>
      </c>
      <c r="H311" s="17">
        <f>('Q1'!AC202-H$106)/H$107</f>
        <v>0.3306905465504546</v>
      </c>
      <c r="I311" s="17">
        <f>('Q1'!AD202-I$106)/I$107</f>
        <v>-0.7961353944705728</v>
      </c>
      <c r="J311" s="17">
        <f>('Q1'!AE202-J$106)/J$107</f>
        <v>-0.99949320561584531</v>
      </c>
      <c r="K311" s="17">
        <f>('Q1'!AF202-K$106)/K$107</f>
        <v>-1.1215033646579879</v>
      </c>
      <c r="L311" s="17">
        <f>('Q1'!AG202-L$106)/L$107</f>
        <v>0.29338525812874738</v>
      </c>
      <c r="M311" s="17">
        <f>('Q1'!AH202-M$106)/M$107</f>
        <v>-0.94129850904678625</v>
      </c>
      <c r="N311" s="17">
        <f>('Q1'!AI202-N$106)/N$107</f>
        <v>0.35322988243781978</v>
      </c>
      <c r="O311" s="17">
        <f>('Q1'!AJ202-O$106)/O$107</f>
        <v>0.16839582599425915</v>
      </c>
      <c r="P311" s="17">
        <f>('Q1'!AK202-P$106)/P$107</f>
        <v>-0.19391128583528192</v>
      </c>
      <c r="Q311" s="17">
        <f>('Q1'!AL202-Q$106)/Q$107</f>
        <v>-0.6139146108229101</v>
      </c>
      <c r="R311" s="17">
        <f>('Q1'!AM202-R$106)/R$107</f>
        <v>0.35278140828765159</v>
      </c>
      <c r="S311" s="17">
        <f>('Q1'!AN202-S$106)/S$107</f>
        <v>-0.54722304699106949</v>
      </c>
    </row>
    <row r="312" spans="2:19">
      <c r="B312" s="17">
        <f>('Q1'!W203-B$106)/B$107</f>
        <v>1.2946356886099915</v>
      </c>
      <c r="C312" s="17">
        <f>('Q1'!X203-C$106)/C$107</f>
        <v>2.4430666561155423</v>
      </c>
      <c r="D312" s="17">
        <f>('Q1'!Y203-D$106)/D$107</f>
        <v>1.8268379360428071</v>
      </c>
      <c r="E312" s="17">
        <f>('Q1'!Z203-E$106)/E$107</f>
        <v>1.2413295246358556</v>
      </c>
      <c r="F312" s="17">
        <f>('Q1'!AA203-F$106)/F$107</f>
        <v>0.48174358882914242</v>
      </c>
      <c r="G312" s="17">
        <f>('Q1'!AB203-G$106)/G$107</f>
        <v>1.1459678118188752</v>
      </c>
      <c r="H312" s="17">
        <f>('Q1'!AC203-H$106)/H$107</f>
        <v>1.4584813273650308</v>
      </c>
      <c r="I312" s="17">
        <f>('Q1'!AD203-I$106)/I$107</f>
        <v>-0.98900308269212978</v>
      </c>
      <c r="J312" s="17">
        <f>('Q1'!AE203-J$106)/J$107</f>
        <v>0.37878094979874993</v>
      </c>
      <c r="K312" s="17">
        <f>('Q1'!AF203-K$106)/K$107</f>
        <v>0.15640203234277578</v>
      </c>
      <c r="L312" s="17">
        <f>('Q1'!AG203-L$106)/L$107</f>
        <v>0.87989223282796269</v>
      </c>
      <c r="M312" s="17">
        <f>('Q1'!AH203-M$106)/M$107</f>
        <v>1.8921728307887145</v>
      </c>
      <c r="N312" s="17">
        <f>('Q1'!AI203-N$106)/N$107</f>
        <v>1.6929321288838508</v>
      </c>
      <c r="O312" s="17">
        <f>('Q1'!AJ203-O$106)/O$107</f>
        <v>0.63939156172363876</v>
      </c>
      <c r="P312" s="17">
        <f>('Q1'!AK203-P$106)/P$107</f>
        <v>-0.47364215654773478</v>
      </c>
      <c r="Q312" s="17">
        <f>('Q1'!AL203-Q$106)/Q$107</f>
        <v>-0.55900789425100195</v>
      </c>
      <c r="R312" s="17">
        <f>('Q1'!AM203-R$106)/R$107</f>
        <v>-7.8743177162699587E-2</v>
      </c>
      <c r="S312" s="17">
        <f>('Q1'!AN203-S$106)/S$107</f>
        <v>0.67596175206410913</v>
      </c>
    </row>
    <row r="313" spans="2:19">
      <c r="B313" s="17">
        <f>('Q1'!W204-B$106)/B$107</f>
        <v>0.124007511212089</v>
      </c>
      <c r="C313" s="17">
        <f>('Q1'!X204-C$106)/C$107</f>
        <v>0.36269128201791451</v>
      </c>
      <c r="D313" s="17">
        <f>('Q1'!Y204-D$106)/D$107</f>
        <v>0.77120773013027499</v>
      </c>
      <c r="E313" s="17">
        <f>('Q1'!Z204-E$106)/E$107</f>
        <v>0.46889328256888541</v>
      </c>
      <c r="F313" s="17">
        <f>('Q1'!AA204-F$106)/F$107</f>
        <v>1.1365455673077312</v>
      </c>
      <c r="G313" s="17">
        <f>('Q1'!AB204-G$106)/G$107</f>
        <v>-1.2553184569549198</v>
      </c>
      <c r="H313" s="17">
        <f>('Q1'!AC204-H$106)/H$107</f>
        <v>0.16338133567382074</v>
      </c>
      <c r="I313" s="17">
        <f>('Q1'!AD204-I$106)/I$107</f>
        <v>0.23783099933715346</v>
      </c>
      <c r="J313" s="17">
        <f>('Q1'!AE204-J$106)/J$107</f>
        <v>-0.45709336734592748</v>
      </c>
      <c r="K313" s="17">
        <f>('Q1'!AF204-K$106)/K$107</f>
        <v>0.27368198372588337</v>
      </c>
      <c r="L313" s="17">
        <f>('Q1'!AG204-L$106)/L$107</f>
        <v>0.19531969473659283</v>
      </c>
      <c r="M313" s="17">
        <f>('Q1'!AH204-M$106)/M$107</f>
        <v>0.16351132668023721</v>
      </c>
      <c r="N313" s="17">
        <f>('Q1'!AI204-N$106)/N$107</f>
        <v>0.48573141935865866</v>
      </c>
      <c r="O313" s="17">
        <f>('Q1'!AJ204-O$106)/O$107</f>
        <v>0.4478445926310034</v>
      </c>
      <c r="P313" s="17">
        <f>('Q1'!AK204-P$106)/P$107</f>
        <v>0.24921199126836652</v>
      </c>
      <c r="Q313" s="17">
        <f>('Q1'!AL204-Q$106)/Q$107</f>
        <v>-0.17774848925573936</v>
      </c>
      <c r="R313" s="17">
        <f>('Q1'!AM204-R$106)/R$107</f>
        <v>0.32642627424484255</v>
      </c>
      <c r="S313" s="17">
        <f>('Q1'!AN204-S$106)/S$107</f>
        <v>0.3565067767568651</v>
      </c>
    </row>
    <row r="314" spans="2:19">
      <c r="B314" s="17">
        <f>('Q1'!W205-B$106)/B$107</f>
        <v>-1.4577734488787464E-2</v>
      </c>
      <c r="C314" s="17">
        <f>('Q1'!X205-C$106)/C$107</f>
        <v>0.12859086959652322</v>
      </c>
      <c r="D314" s="17">
        <f>('Q1'!Y205-D$106)/D$107</f>
        <v>-0.35482966030408847</v>
      </c>
      <c r="E314" s="17">
        <f>('Q1'!Z205-E$106)/E$107</f>
        <v>-0.54464017933481679</v>
      </c>
      <c r="F314" s="17">
        <f>('Q1'!AA205-F$106)/F$107</f>
        <v>0.56283463147854229</v>
      </c>
      <c r="G314" s="17">
        <f>('Q1'!AB205-G$106)/G$107</f>
        <v>-1.3792377479637179</v>
      </c>
      <c r="H314" s="17">
        <f>('Q1'!AC205-H$106)/H$107</f>
        <v>0.36547888298628728</v>
      </c>
      <c r="I314" s="17">
        <f>('Q1'!AD205-I$106)/I$107</f>
        <v>0.67531111556694423</v>
      </c>
      <c r="J314" s="17">
        <f>('Q1'!AE205-J$106)/J$107</f>
        <v>0.84174782560229022</v>
      </c>
      <c r="K314" s="17">
        <f>('Q1'!AF205-K$106)/K$107</f>
        <v>-0.4492491032665113</v>
      </c>
      <c r="L314" s="17">
        <f>('Q1'!AG205-L$106)/L$107</f>
        <v>0.22558192263686336</v>
      </c>
      <c r="M314" s="17">
        <f>('Q1'!AH205-M$106)/M$107</f>
        <v>8.345429595060995E-2</v>
      </c>
      <c r="N314" s="17">
        <f>('Q1'!AI205-N$106)/N$107</f>
        <v>0.14907504208567038</v>
      </c>
      <c r="O314" s="17">
        <f>('Q1'!AJ205-O$106)/O$107</f>
        <v>0.56654528463769704</v>
      </c>
      <c r="P314" s="17">
        <f>('Q1'!AK205-P$106)/P$107</f>
        <v>0.1986687259088257</v>
      </c>
      <c r="Q314" s="17">
        <f>('Q1'!AL205-Q$106)/Q$107</f>
        <v>0.59705960119377166</v>
      </c>
      <c r="R314" s="17">
        <f>('Q1'!AM205-R$106)/R$107</f>
        <v>0.35421313775987023</v>
      </c>
      <c r="S314" s="17">
        <f>('Q1'!AN205-S$106)/S$107</f>
        <v>0.61877977557841657</v>
      </c>
    </row>
    <row r="315" spans="2:19">
      <c r="B315" s="17">
        <f>('Q1'!W206-B$106)/B$107</f>
        <v>2.2148403690807526E-2</v>
      </c>
      <c r="C315" s="17">
        <f>('Q1'!X206-C$106)/C$107</f>
        <v>0.72333021023964161</v>
      </c>
      <c r="D315" s="17">
        <f>('Q1'!Y206-D$106)/D$107</f>
        <v>0.77552032184288844</v>
      </c>
      <c r="E315" s="17">
        <f>('Q1'!Z206-E$106)/E$107</f>
        <v>0.58824311343365343</v>
      </c>
      <c r="F315" s="17">
        <f>('Q1'!AA206-F$106)/F$107</f>
        <v>-4.4385028058180023E-2</v>
      </c>
      <c r="G315" s="17">
        <f>('Q1'!AB206-G$106)/G$107</f>
        <v>0.89715219210341435</v>
      </c>
      <c r="H315" s="17">
        <f>('Q1'!AC206-H$106)/H$107</f>
        <v>9.5836711876673308E-2</v>
      </c>
      <c r="I315" s="17">
        <f>('Q1'!AD206-I$106)/I$107</f>
        <v>0.79316812098934897</v>
      </c>
      <c r="J315" s="17">
        <f>('Q1'!AE206-J$106)/J$107</f>
        <v>0.18134976763429064</v>
      </c>
      <c r="K315" s="17">
        <f>('Q1'!AF206-K$106)/K$107</f>
        <v>1.1770049685665869</v>
      </c>
      <c r="L315" s="17">
        <f>('Q1'!AG206-L$106)/L$107</f>
        <v>0.46506479619715158</v>
      </c>
      <c r="M315" s="17">
        <f>('Q1'!AH206-M$106)/M$107</f>
        <v>0.62915634756545602</v>
      </c>
      <c r="N315" s="17">
        <f>('Q1'!AI206-N$106)/N$107</f>
        <v>0.21393013938285219</v>
      </c>
      <c r="O315" s="17">
        <f>('Q1'!AJ206-O$106)/O$107</f>
        <v>-8.3504365457778812E-2</v>
      </c>
      <c r="P315" s="17">
        <f>('Q1'!AK206-P$106)/P$107</f>
        <v>0.93239632955534024</v>
      </c>
      <c r="Q315" s="17">
        <f>('Q1'!AL206-Q$106)/Q$107</f>
        <v>3.4250120641463884E-2</v>
      </c>
      <c r="R315" s="17">
        <f>('Q1'!AM206-R$106)/R$107</f>
        <v>-0.2787419925278059</v>
      </c>
      <c r="S315" s="17">
        <f>('Q1'!AN206-S$106)/S$107</f>
        <v>0.32657404184151506</v>
      </c>
    </row>
    <row r="316" spans="2:19">
      <c r="B316" s="17">
        <f>('Q1'!W207-B$106)/B$107</f>
        <v>-3.0127144580883992E-2</v>
      </c>
      <c r="C316" s="17">
        <f>('Q1'!X207-C$106)/C$107</f>
        <v>-0.49267116232835612</v>
      </c>
      <c r="D316" s="17">
        <f>('Q1'!Y207-D$106)/D$107</f>
        <v>-0.48960982348835463</v>
      </c>
      <c r="E316" s="17">
        <f>('Q1'!Z207-E$106)/E$107</f>
        <v>1.8195017170349016E-3</v>
      </c>
      <c r="F316" s="17">
        <f>('Q1'!AA207-F$106)/F$107</f>
        <v>-0.3268165271333669</v>
      </c>
      <c r="G316" s="17">
        <f>('Q1'!AB207-G$106)/G$107</f>
        <v>-0.91485752132343745</v>
      </c>
      <c r="H316" s="17">
        <f>('Q1'!AC207-H$106)/H$107</f>
        <v>-0.25156081980705347</v>
      </c>
      <c r="I316" s="17">
        <f>('Q1'!AD207-I$106)/I$107</f>
        <v>-0.41272416097004555</v>
      </c>
      <c r="J316" s="17">
        <f>('Q1'!AE207-J$106)/J$107</f>
        <v>0.46965877949604695</v>
      </c>
      <c r="K316" s="17">
        <f>('Q1'!AF207-K$106)/K$107</f>
        <v>0.14470299054686031</v>
      </c>
      <c r="L316" s="17">
        <f>('Q1'!AG207-L$106)/L$107</f>
        <v>-0.25013290103666014</v>
      </c>
      <c r="M316" s="17">
        <f>('Q1'!AH207-M$106)/M$107</f>
        <v>-6.6297294783492902E-2</v>
      </c>
      <c r="N316" s="17">
        <f>('Q1'!AI207-N$106)/N$107</f>
        <v>-0.5015314260504915</v>
      </c>
      <c r="O316" s="17">
        <f>('Q1'!AJ207-O$106)/O$107</f>
        <v>-0.58366785025776402</v>
      </c>
      <c r="P316" s="17">
        <f>('Q1'!AK207-P$106)/P$107</f>
        <v>0.24831591613427609</v>
      </c>
      <c r="Q316" s="17">
        <f>('Q1'!AL207-Q$106)/Q$107</f>
        <v>0.21352268475447644</v>
      </c>
      <c r="R316" s="17">
        <f>('Q1'!AM207-R$106)/R$107</f>
        <v>0.29475711713039415</v>
      </c>
      <c r="S316" s="17">
        <f>('Q1'!AN207-S$106)/S$107</f>
        <v>-0.42831786040746578</v>
      </c>
    </row>
    <row r="317" spans="2:19">
      <c r="B317" s="17">
        <f>('Q1'!W208-B$106)/B$107</f>
        <v>-0.3094939689645046</v>
      </c>
      <c r="C317" s="17">
        <f>('Q1'!X208-C$106)/C$107</f>
        <v>-0.16135685479570994</v>
      </c>
      <c r="D317" s="17">
        <f>('Q1'!Y208-D$106)/D$107</f>
        <v>-0.24084613238162336</v>
      </c>
      <c r="E317" s="17">
        <f>('Q1'!Z208-E$106)/E$107</f>
        <v>-0.12475102063974897</v>
      </c>
      <c r="F317" s="17">
        <f>('Q1'!AA208-F$106)/F$107</f>
        <v>-0.91679859426766097</v>
      </c>
      <c r="G317" s="17">
        <f>('Q1'!AB208-G$106)/G$107</f>
        <v>-9.2219544090359415E-2</v>
      </c>
      <c r="H317" s="17">
        <f>('Q1'!AC208-H$106)/H$107</f>
        <v>0.19537019017515078</v>
      </c>
      <c r="I317" s="17">
        <f>('Q1'!AD208-I$106)/I$107</f>
        <v>-0.70118803125173312</v>
      </c>
      <c r="J317" s="17">
        <f>('Q1'!AE208-J$106)/J$107</f>
        <v>0.17285379746964868</v>
      </c>
      <c r="K317" s="17">
        <f>('Q1'!AF208-K$106)/K$107</f>
        <v>-0.20775358543290512</v>
      </c>
      <c r="L317" s="17">
        <f>('Q1'!AG208-L$106)/L$107</f>
        <v>-9.8979706297487383E-2</v>
      </c>
      <c r="M317" s="17">
        <f>('Q1'!AH208-M$106)/M$107</f>
        <v>-3.1718006077483138E-2</v>
      </c>
      <c r="N317" s="17">
        <f>('Q1'!AI208-N$106)/N$107</f>
        <v>-0.51208473589707759</v>
      </c>
      <c r="O317" s="17">
        <f>('Q1'!AJ208-O$106)/O$107</f>
        <v>-1.0323609120252386</v>
      </c>
      <c r="P317" s="17">
        <f>('Q1'!AK208-P$106)/P$107</f>
        <v>-0.23373755763551976</v>
      </c>
      <c r="Q317" s="17">
        <f>('Q1'!AL208-Q$106)/Q$107</f>
        <v>0.16864884494226082</v>
      </c>
      <c r="R317" s="17">
        <f>('Q1'!AM208-R$106)/R$107</f>
        <v>0.34280277757827254</v>
      </c>
      <c r="S317" s="17">
        <f>('Q1'!AN208-S$106)/S$107</f>
        <v>-1.2013250804837565</v>
      </c>
    </row>
    <row r="318" spans="2:19">
      <c r="B318" s="17">
        <f>('Q1'!W209-B$106)/B$107</f>
        <v>-9.7141564566826169E-2</v>
      </c>
      <c r="C318" s="17">
        <f>('Q1'!X209-C$106)/C$107</f>
        <v>-0.45355214488119017</v>
      </c>
      <c r="D318" s="17">
        <f>('Q1'!Y209-D$106)/D$107</f>
        <v>-0.72105744457046173</v>
      </c>
      <c r="E318" s="17">
        <f>('Q1'!Z209-E$106)/E$107</f>
        <v>0.20562622918018719</v>
      </c>
      <c r="F318" s="17">
        <f>('Q1'!AA209-F$106)/F$107</f>
        <v>-0.79271207160616075</v>
      </c>
      <c r="G318" s="17">
        <f>('Q1'!AB209-G$106)/G$107</f>
        <v>-1.6010725083512414</v>
      </c>
      <c r="H318" s="17">
        <f>('Q1'!AC209-H$106)/H$107</f>
        <v>1.0014742298603008</v>
      </c>
      <c r="I318" s="17">
        <f>('Q1'!AD209-I$106)/I$107</f>
        <v>0.17445591959959145</v>
      </c>
      <c r="J318" s="17">
        <f>('Q1'!AE209-J$106)/J$107</f>
        <v>1.0130411310213572E-2</v>
      </c>
      <c r="K318" s="17">
        <f>('Q1'!AF209-K$106)/K$107</f>
        <v>-0.68637948457139097</v>
      </c>
      <c r="L318" s="17">
        <f>('Q1'!AG209-L$106)/L$107</f>
        <v>-0.39753140835723011</v>
      </c>
      <c r="M318" s="17">
        <f>('Q1'!AH209-M$106)/M$107</f>
        <v>2.1383356525081236</v>
      </c>
      <c r="N318" s="17">
        <f>('Q1'!AI209-N$106)/N$107</f>
        <v>-0.72246870408869357</v>
      </c>
      <c r="O318" s="17">
        <f>('Q1'!AJ209-O$106)/O$107</f>
        <v>0.16922134683520673</v>
      </c>
      <c r="P318" s="17">
        <f>('Q1'!AK209-P$106)/P$107</f>
        <v>0.3403860509919267</v>
      </c>
      <c r="Q318" s="17">
        <f>('Q1'!AL209-Q$106)/Q$107</f>
        <v>0.4181104644204866</v>
      </c>
      <c r="R318" s="17">
        <f>('Q1'!AM209-R$106)/R$107</f>
        <v>0.10187301550131976</v>
      </c>
      <c r="S318" s="17">
        <f>('Q1'!AN209-S$106)/S$107</f>
        <v>-0.75999846510097724</v>
      </c>
    </row>
    <row r="319" spans="2:19">
      <c r="B319" s="17">
        <f>('Q1'!W210-B$106)/B$107</f>
        <v>-0.20390176773153354</v>
      </c>
      <c r="C319" s="17">
        <f>('Q1'!X210-C$106)/C$107</f>
        <v>0.68712654449545529</v>
      </c>
      <c r="D319" s="17">
        <f>('Q1'!Y210-D$106)/D$107</f>
        <v>1.1984315242356056</v>
      </c>
      <c r="E319" s="17">
        <f>('Q1'!Z210-E$106)/E$107</f>
        <v>0.87550677431339985</v>
      </c>
      <c r="F319" s="17">
        <f>('Q1'!AA210-F$106)/F$107</f>
        <v>1.1623833328681599</v>
      </c>
      <c r="G319" s="17">
        <f>('Q1'!AB210-G$106)/G$107</f>
        <v>-0.1606894623561565</v>
      </c>
      <c r="H319" s="17">
        <f>('Q1'!AC210-H$106)/H$107</f>
        <v>-6.9248309945320136E-2</v>
      </c>
      <c r="I319" s="17">
        <f>('Q1'!AD210-I$106)/I$107</f>
        <v>-0.35907098610017257</v>
      </c>
      <c r="J319" s="17">
        <f>('Q1'!AE210-J$106)/J$107</f>
        <v>0.14637728638717498</v>
      </c>
      <c r="K319" s="17">
        <f>('Q1'!AF210-K$106)/K$107</f>
        <v>0.57261886353652325</v>
      </c>
      <c r="L319" s="17">
        <f>('Q1'!AG210-L$106)/L$107</f>
        <v>0.93319142260810772</v>
      </c>
      <c r="M319" s="17">
        <f>('Q1'!AH210-M$106)/M$107</f>
        <v>-9.7101129724647319E-3</v>
      </c>
      <c r="N319" s="17">
        <f>('Q1'!AI210-N$106)/N$107</f>
        <v>0.98053609143387133</v>
      </c>
      <c r="O319" s="17">
        <f>('Q1'!AJ210-O$106)/O$107</f>
        <v>0.6681287386325454</v>
      </c>
      <c r="P319" s="17">
        <f>('Q1'!AK210-P$106)/P$107</f>
        <v>-0.71530726982100235</v>
      </c>
      <c r="Q319" s="17">
        <f>('Q1'!AL210-Q$106)/Q$107</f>
        <v>-0.37971671178472571</v>
      </c>
      <c r="R319" s="17">
        <f>('Q1'!AM210-R$106)/R$107</f>
        <v>-0.24143912074023627</v>
      </c>
      <c r="S319" s="17">
        <f>('Q1'!AN210-S$106)/S$107</f>
        <v>0.15054717065823306</v>
      </c>
    </row>
    <row r="320" spans="2:19">
      <c r="B320" s="17">
        <f>('Q1'!W211-B$106)/B$107</f>
        <v>4.1671036035158975E-2</v>
      </c>
      <c r="C320" s="17">
        <f>('Q1'!X211-C$106)/C$107</f>
        <v>-0.14495691773481309</v>
      </c>
      <c r="D320" s="17">
        <f>('Q1'!Y211-D$106)/D$107</f>
        <v>-7.6615421667017E-2</v>
      </c>
      <c r="E320" s="17">
        <f>('Q1'!Z211-E$106)/E$107</f>
        <v>0.17746639807742445</v>
      </c>
      <c r="F320" s="17">
        <f>('Q1'!AA211-F$106)/F$107</f>
        <v>0.30034634880602623</v>
      </c>
      <c r="G320" s="17">
        <f>('Q1'!AB211-G$106)/G$107</f>
        <v>0.23188134060827267</v>
      </c>
      <c r="H320" s="17">
        <f>('Q1'!AC211-H$106)/H$107</f>
        <v>0.3426888117429705</v>
      </c>
      <c r="I320" s="17">
        <f>('Q1'!AD211-I$106)/I$107</f>
        <v>0.68015797746642559</v>
      </c>
      <c r="J320" s="17">
        <f>('Q1'!AE211-J$106)/J$107</f>
        <v>-7.3302688750995618E-2</v>
      </c>
      <c r="K320" s="17">
        <f>('Q1'!AF211-K$106)/K$107</f>
        <v>-0.27921413058573014</v>
      </c>
      <c r="L320" s="17">
        <f>('Q1'!AG211-L$106)/L$107</f>
        <v>1.1684980267374094E-2</v>
      </c>
      <c r="M320" s="17">
        <f>('Q1'!AH211-M$106)/M$107</f>
        <v>0.66510631223438366</v>
      </c>
      <c r="N320" s="17">
        <f>('Q1'!AI211-N$106)/N$107</f>
        <v>-0.43770081688741297</v>
      </c>
      <c r="O320" s="17">
        <f>('Q1'!AJ211-O$106)/O$107</f>
        <v>0.18235626811095268</v>
      </c>
      <c r="P320" s="17">
        <f>('Q1'!AK211-P$106)/P$107</f>
        <v>6.2634649170326934E-2</v>
      </c>
      <c r="Q320" s="17">
        <f>('Q1'!AL211-Q$106)/Q$107</f>
        <v>-1.0689676799293904E-2</v>
      </c>
      <c r="R320" s="17">
        <f>('Q1'!AM211-R$106)/R$107</f>
        <v>0.53254160039339504</v>
      </c>
      <c r="S320" s="17">
        <f>('Q1'!AN211-S$106)/S$107</f>
        <v>-0.92345646360833877</v>
      </c>
    </row>
    <row r="321" spans="2:19">
      <c r="B321" s="17">
        <f>('Q1'!W212-B$106)/B$107</f>
        <v>-0.72433576584465864</v>
      </c>
      <c r="C321" s="17">
        <f>('Q1'!X212-C$106)/C$107</f>
        <v>-0.17905492772805995</v>
      </c>
      <c r="D321" s="17">
        <f>('Q1'!Y212-D$106)/D$107</f>
        <v>-0.18081191097733271</v>
      </c>
      <c r="E321" s="17">
        <f>('Q1'!Z212-E$106)/E$107</f>
        <v>-7.6933663618323683E-2</v>
      </c>
      <c r="F321" s="17">
        <f>('Q1'!AA212-F$106)/F$107</f>
        <v>-0.80484300139112297</v>
      </c>
      <c r="G321" s="17">
        <f>('Q1'!AB212-G$106)/G$107</f>
        <v>-1.0529521564093842</v>
      </c>
      <c r="H321" s="17">
        <f>('Q1'!AC212-H$106)/H$107</f>
        <v>-1.353118626938564</v>
      </c>
      <c r="I321" s="17">
        <f>('Q1'!AD212-I$106)/I$107</f>
        <v>0.32231076968228217</v>
      </c>
      <c r="J321" s="17">
        <f>('Q1'!AE212-J$106)/J$107</f>
        <v>0.15912888263396899</v>
      </c>
      <c r="K321" s="17">
        <f>('Q1'!AF212-K$106)/K$107</f>
        <v>0.31105553411382009</v>
      </c>
      <c r="L321" s="17">
        <f>('Q1'!AG212-L$106)/L$107</f>
        <v>3.6831452253199004E-2</v>
      </c>
      <c r="M321" s="17">
        <f>('Q1'!AH212-M$106)/M$107</f>
        <v>-0.22741223180566283</v>
      </c>
      <c r="N321" s="17">
        <f>('Q1'!AI212-N$106)/N$107</f>
        <v>-0.759350532241853</v>
      </c>
      <c r="O321" s="17">
        <f>('Q1'!AJ212-O$106)/O$107</f>
        <v>0.573574997006567</v>
      </c>
      <c r="P321" s="17">
        <f>('Q1'!AK212-P$106)/P$107</f>
        <v>0.69534253952360248</v>
      </c>
      <c r="Q321" s="17">
        <f>('Q1'!AL212-Q$106)/Q$107</f>
        <v>-0.22728974146440861</v>
      </c>
      <c r="R321" s="17">
        <f>('Q1'!AM212-R$106)/R$107</f>
        <v>0.20557189623892858</v>
      </c>
      <c r="S321" s="17">
        <f>('Q1'!AN212-S$106)/S$107</f>
        <v>-0.25322951476249633</v>
      </c>
    </row>
    <row r="322" spans="2:19">
      <c r="B322" s="17">
        <f>('Q1'!W213-B$106)/B$107</f>
        <v>0.37374266028789888</v>
      </c>
      <c r="C322" s="17">
        <f>('Q1'!X213-C$106)/C$107</f>
        <v>0.50611444379685944</v>
      </c>
      <c r="D322" s="17">
        <f>('Q1'!Y213-D$106)/D$107</f>
        <v>0.47069595207937781</v>
      </c>
      <c r="E322" s="17">
        <f>('Q1'!Z213-E$106)/E$107</f>
        <v>0.61314431755579257</v>
      </c>
      <c r="F322" s="17">
        <f>('Q1'!AA213-F$106)/F$107</f>
        <v>0.60567284561162782</v>
      </c>
      <c r="G322" s="17">
        <f>('Q1'!AB213-G$106)/G$107</f>
        <v>0.3198570514596677</v>
      </c>
      <c r="H322" s="17">
        <f>('Q1'!AC213-H$106)/H$107</f>
        <v>0.83247603229130263</v>
      </c>
      <c r="I322" s="17">
        <f>('Q1'!AD213-I$106)/I$107</f>
        <v>-0.42423918797794991</v>
      </c>
      <c r="J322" s="17">
        <f>('Q1'!AE213-J$106)/J$107</f>
        <v>0.51020315764371882</v>
      </c>
      <c r="K322" s="17">
        <f>('Q1'!AF213-K$106)/K$107</f>
        <v>0.96935017160748727</v>
      </c>
      <c r="L322" s="17">
        <f>('Q1'!AG213-L$106)/L$107</f>
        <v>0.44276102295201847</v>
      </c>
      <c r="M322" s="17">
        <f>('Q1'!AH213-M$106)/M$107</f>
        <v>0.44096317657124706</v>
      </c>
      <c r="N322" s="17">
        <f>('Q1'!AI213-N$106)/N$107</f>
        <v>0.93997952046428701</v>
      </c>
      <c r="O322" s="17">
        <f>('Q1'!AJ213-O$106)/O$107</f>
        <v>0.57192570860079217</v>
      </c>
      <c r="P322" s="17">
        <f>('Q1'!AK213-P$106)/P$107</f>
        <v>-0.74452533972056212</v>
      </c>
      <c r="Q322" s="17">
        <f>('Q1'!AL213-Q$106)/Q$107</f>
        <v>-0.32394461425713544</v>
      </c>
      <c r="R322" s="17">
        <f>('Q1'!AM213-R$106)/R$107</f>
        <v>-0.13001193055312837</v>
      </c>
      <c r="S322" s="17">
        <f>('Q1'!AN213-S$106)/S$107</f>
        <v>0.25261351046994046</v>
      </c>
    </row>
    <row r="323" spans="2:19">
      <c r="B323" s="17">
        <f>('Q1'!W214-B$106)/B$107</f>
        <v>-0.47104311264679671</v>
      </c>
      <c r="C323" s="17">
        <f>('Q1'!X214-C$106)/C$107</f>
        <v>0.63995683410268767</v>
      </c>
      <c r="D323" s="17">
        <f>('Q1'!Y214-D$106)/D$107</f>
        <v>0.50093101043090305</v>
      </c>
      <c r="E323" s="17">
        <f>('Q1'!Z214-E$106)/E$107</f>
        <v>6.554786737580505E-2</v>
      </c>
      <c r="F323" s="17">
        <f>('Q1'!AA214-F$106)/F$107</f>
        <v>-5.1266729606833637E-4</v>
      </c>
      <c r="G323" s="17">
        <f>('Q1'!AB214-G$106)/G$107</f>
        <v>-1.0543018965549111</v>
      </c>
      <c r="H323" s="17">
        <f>('Q1'!AC214-H$106)/H$107</f>
        <v>0.58779279469444512</v>
      </c>
      <c r="I323" s="17">
        <f>('Q1'!AD214-I$106)/I$107</f>
        <v>-1.1531103177159894</v>
      </c>
      <c r="J323" s="17">
        <f>('Q1'!AE214-J$106)/J$107</f>
        <v>0.71037730490119577</v>
      </c>
      <c r="K323" s="17">
        <f>('Q1'!AF214-K$106)/K$107</f>
        <v>-0.36391710864742044</v>
      </c>
      <c r="L323" s="17">
        <f>('Q1'!AG214-L$106)/L$107</f>
        <v>0.50148676298413408</v>
      </c>
      <c r="M323" s="17">
        <f>('Q1'!AH214-M$106)/M$107</f>
        <v>-0.3203310382571356</v>
      </c>
      <c r="N323" s="17">
        <f>('Q1'!AI214-N$106)/N$107</f>
        <v>9.8601050259767911E-2</v>
      </c>
      <c r="O323" s="17">
        <f>('Q1'!AJ214-O$106)/O$107</f>
        <v>-3.9578640429132946E-3</v>
      </c>
      <c r="P323" s="17">
        <f>('Q1'!AK214-P$106)/P$107</f>
        <v>0.64233182105383224</v>
      </c>
      <c r="Q323" s="17">
        <f>('Q1'!AL214-Q$106)/Q$107</f>
        <v>1.0001377593696763</v>
      </c>
      <c r="R323" s="17">
        <f>('Q1'!AM214-R$106)/R$107</f>
        <v>1.3053041382947701</v>
      </c>
      <c r="S323" s="17">
        <f>('Q1'!AN214-S$106)/S$107</f>
        <v>0.76487093031094844</v>
      </c>
    </row>
    <row r="324" spans="2:19">
      <c r="B324" s="17">
        <f>('Q1'!W215-B$106)/B$107</f>
        <v>0.35842529678167728</v>
      </c>
      <c r="C324" s="17">
        <f>('Q1'!X215-C$106)/C$107</f>
        <v>0.16520550053841515</v>
      </c>
      <c r="D324" s="17">
        <f>('Q1'!Y215-D$106)/D$107</f>
        <v>0.40124147960782608</v>
      </c>
      <c r="E324" s="17">
        <f>('Q1'!Z215-E$106)/E$107</f>
        <v>0.2095633816822047</v>
      </c>
      <c r="F324" s="17">
        <f>('Q1'!AA215-F$106)/F$107</f>
        <v>3.4287657933793528E-2</v>
      </c>
      <c r="G324" s="17">
        <f>('Q1'!AB215-G$106)/G$107</f>
        <v>2.0208039750206521</v>
      </c>
      <c r="H324" s="17">
        <f>('Q1'!AC215-H$106)/H$107</f>
        <v>1.3735020716560677</v>
      </c>
      <c r="I324" s="17">
        <f>('Q1'!AD215-I$106)/I$107</f>
        <v>0.83714764739066849</v>
      </c>
      <c r="J324" s="17">
        <f>('Q1'!AE215-J$106)/J$107</f>
        <v>0.47278361692044774</v>
      </c>
      <c r="K324" s="17">
        <f>('Q1'!AF215-K$106)/K$107</f>
        <v>0.49791044592176043</v>
      </c>
      <c r="L324" s="17">
        <f>('Q1'!AG215-L$106)/L$107</f>
        <v>0.1793402605103338</v>
      </c>
      <c r="M324" s="17">
        <f>('Q1'!AH215-M$106)/M$107</f>
        <v>-0.20297172984427897</v>
      </c>
      <c r="N324" s="17">
        <f>('Q1'!AI215-N$106)/N$107</f>
        <v>-4.6962849540334445E-2</v>
      </c>
      <c r="O324" s="17">
        <f>('Q1'!AJ215-O$106)/O$107</f>
        <v>-7.5069257255740872E-3</v>
      </c>
      <c r="P324" s="17">
        <f>('Q1'!AK215-P$106)/P$107</f>
        <v>-8.2779541294038611E-2</v>
      </c>
      <c r="Q324" s="17">
        <f>('Q1'!AL215-Q$106)/Q$107</f>
        <v>0.33512172139506402</v>
      </c>
      <c r="R324" s="17">
        <f>('Q1'!AM215-R$106)/R$107</f>
        <v>-1.080882308616807E-3</v>
      </c>
      <c r="S324" s="17">
        <f>('Q1'!AN215-S$106)/S$107</f>
        <v>-0.10375126408131932</v>
      </c>
    </row>
    <row r="325" spans="2:19">
      <c r="B325" s="17">
        <f>('Q1'!W216-B$106)/B$107</f>
        <v>0.36918390229044051</v>
      </c>
      <c r="C325" s="17">
        <f>('Q1'!X216-C$106)/C$107</f>
        <v>0.38175545518405707</v>
      </c>
      <c r="D325" s="17">
        <f>('Q1'!Y216-D$106)/D$107</f>
        <v>0.14461062936675079</v>
      </c>
      <c r="E325" s="17">
        <f>('Q1'!Z216-E$106)/E$107</f>
        <v>-0.11183978721024794</v>
      </c>
      <c r="F325" s="17">
        <f>('Q1'!AA216-F$106)/F$107</f>
        <v>0.38545411014109449</v>
      </c>
      <c r="G325" s="17">
        <f>('Q1'!AB216-G$106)/G$107</f>
        <v>0.38107195640298586</v>
      </c>
      <c r="H325" s="17">
        <f>('Q1'!AC216-H$106)/H$107</f>
        <v>0.35846358766456804</v>
      </c>
      <c r="I325" s="17">
        <f>('Q1'!AD216-I$106)/I$107</f>
        <v>0.26454391172215186</v>
      </c>
      <c r="J325" s="17">
        <f>('Q1'!AE216-J$106)/J$107</f>
        <v>-7.0575797773149554E-2</v>
      </c>
      <c r="K325" s="17">
        <f>('Q1'!AF216-K$106)/K$107</f>
        <v>6.4922851521675082E-2</v>
      </c>
      <c r="L325" s="17">
        <f>('Q1'!AG216-L$106)/L$107</f>
        <v>6.2932513650231656E-2</v>
      </c>
      <c r="M325" s="17">
        <f>('Q1'!AH216-M$106)/M$107</f>
        <v>-0.22520684159747376</v>
      </c>
      <c r="N325" s="17">
        <f>('Q1'!AI216-N$106)/N$107</f>
        <v>0.86941556247118823</v>
      </c>
      <c r="O325" s="17">
        <f>('Q1'!AJ216-O$106)/O$107</f>
        <v>0.26698286021389878</v>
      </c>
      <c r="P325" s="17">
        <f>('Q1'!AK216-P$106)/P$107</f>
        <v>-0.33896417664929862</v>
      </c>
      <c r="Q325" s="17">
        <f>('Q1'!AL216-Q$106)/Q$107</f>
        <v>-0.21882780388057407</v>
      </c>
      <c r="R325" s="17">
        <f>('Q1'!AM216-R$106)/R$107</f>
        <v>0.11712573285864321</v>
      </c>
      <c r="S325" s="17">
        <f>('Q1'!AN216-S$106)/S$107</f>
        <v>-6.8303531566785364E-3</v>
      </c>
    </row>
    <row r="326" spans="2:19">
      <c r="B326" s="17">
        <f>('Q1'!W217-B$106)/B$107</f>
        <v>0.28696878629537786</v>
      </c>
      <c r="C326" s="17">
        <f>('Q1'!X217-C$106)/C$107</f>
        <v>0.66813146822808533</v>
      </c>
      <c r="D326" s="17">
        <f>('Q1'!Y217-D$106)/D$107</f>
        <v>0.83360715298134203</v>
      </c>
      <c r="E326" s="17">
        <f>('Q1'!Z217-E$106)/E$107</f>
        <v>0.44570678305203371</v>
      </c>
      <c r="F326" s="17">
        <f>('Q1'!AA217-F$106)/F$107</f>
        <v>0.23691187452530801</v>
      </c>
      <c r="G326" s="17">
        <f>('Q1'!AB217-G$106)/G$107</f>
        <v>0.28021029735631631</v>
      </c>
      <c r="H326" s="17">
        <f>('Q1'!AC217-H$106)/H$107</f>
        <v>0.63814474382369502</v>
      </c>
      <c r="I326" s="17">
        <f>('Q1'!AD217-I$106)/I$107</f>
        <v>-1.3361455845595263</v>
      </c>
      <c r="J326" s="17">
        <f>('Q1'!AE217-J$106)/J$107</f>
        <v>-0.36089414454575358</v>
      </c>
      <c r="K326" s="17">
        <f>('Q1'!AF217-K$106)/K$107</f>
        <v>0.30642898588016126</v>
      </c>
      <c r="L326" s="17">
        <f>('Q1'!AG217-L$106)/L$107</f>
        <v>-0.10854868815562306</v>
      </c>
      <c r="M326" s="17">
        <f>('Q1'!AH217-M$106)/M$107</f>
        <v>2.4905749177513332</v>
      </c>
      <c r="N326" s="17">
        <f>('Q1'!AI217-N$106)/N$107</f>
        <v>0.89767554443121067</v>
      </c>
      <c r="O326" s="17">
        <f>('Q1'!AJ217-O$106)/O$107</f>
        <v>0.40272425670280582</v>
      </c>
      <c r="P326" s="17">
        <f>('Q1'!AK217-P$106)/P$107</f>
        <v>-0.32929341213599755</v>
      </c>
      <c r="Q326" s="17">
        <f>('Q1'!AL217-Q$106)/Q$107</f>
        <v>1.7110366596803468</v>
      </c>
      <c r="R326" s="17">
        <f>('Q1'!AM217-R$106)/R$107</f>
        <v>1.2310808480896387</v>
      </c>
      <c r="S326" s="17">
        <f>('Q1'!AN217-S$106)/S$107</f>
        <v>0.83589138659960249</v>
      </c>
    </row>
    <row r="327" spans="2:19">
      <c r="B327" s="17">
        <f>('Q1'!W218-B$106)/B$107</f>
        <v>0.20740821325096356</v>
      </c>
      <c r="C327" s="17">
        <f>('Q1'!X218-C$106)/C$107</f>
        <v>-6.4393779025796863E-2</v>
      </c>
      <c r="D327" s="17">
        <f>('Q1'!Y218-D$106)/D$107</f>
        <v>-8.4205848656252996E-2</v>
      </c>
      <c r="E327" s="17">
        <f>('Q1'!Z218-E$106)/E$107</f>
        <v>-0.35153763255650855</v>
      </c>
      <c r="F327" s="17">
        <f>('Q1'!AA218-F$106)/F$107</f>
        <v>-1.1356590228838748</v>
      </c>
      <c r="G327" s="17">
        <f>('Q1'!AB218-G$106)/G$107</f>
        <v>0.96544023880249719</v>
      </c>
      <c r="H327" s="17">
        <f>('Q1'!AC218-H$106)/H$107</f>
        <v>-0.58737219349126513</v>
      </c>
      <c r="I327" s="17">
        <f>('Q1'!AD218-I$106)/I$107</f>
        <v>-1.7957419137450419</v>
      </c>
      <c r="J327" s="17">
        <f>('Q1'!AE218-J$106)/J$107</f>
        <v>-0.62093328235094014</v>
      </c>
      <c r="K327" s="17">
        <f>('Q1'!AF218-K$106)/K$107</f>
        <v>-0.39334829191573079</v>
      </c>
      <c r="L327" s="17">
        <f>('Q1'!AG218-L$106)/L$107</f>
        <v>-0.291007895214899</v>
      </c>
      <c r="M327" s="17">
        <f>('Q1'!AH218-M$106)/M$107</f>
        <v>0.31984021593107004</v>
      </c>
      <c r="N327" s="17">
        <f>('Q1'!AI218-N$106)/N$107</f>
        <v>-1.4686943664410879</v>
      </c>
      <c r="O327" s="17">
        <f>('Q1'!AJ218-O$106)/O$107</f>
        <v>-0.72618740402838611</v>
      </c>
      <c r="P327" s="17">
        <f>('Q1'!AK218-P$106)/P$107</f>
        <v>0.34427205416894707</v>
      </c>
      <c r="Q327" s="17">
        <f>('Q1'!AL218-Q$106)/Q$107</f>
        <v>0.16128528153519209</v>
      </c>
      <c r="R327" s="17">
        <f>('Q1'!AM218-R$106)/R$107</f>
        <v>-0.31225656504951121</v>
      </c>
      <c r="S327" s="17">
        <f>('Q1'!AN218-S$106)/S$107</f>
        <v>-0.76398659226925836</v>
      </c>
    </row>
    <row r="328" spans="2:19">
      <c r="B328" s="17">
        <f>('Q1'!W219-B$106)/B$107</f>
        <v>-1.7910659930543874E-2</v>
      </c>
      <c r="C328" s="17">
        <f>('Q1'!X219-C$106)/C$107</f>
        <v>-0.6879856454406037</v>
      </c>
      <c r="D328" s="17">
        <f>('Q1'!Y219-D$106)/D$107</f>
        <v>-0.69227201238331904</v>
      </c>
      <c r="E328" s="17">
        <f>('Q1'!Z219-E$106)/E$107</f>
        <v>-0.90238157772070993</v>
      </c>
      <c r="F328" s="17">
        <f>('Q1'!AA219-F$106)/F$107</f>
        <v>-0.25135040605076192</v>
      </c>
      <c r="G328" s="17">
        <f>('Q1'!AB219-G$106)/G$107</f>
        <v>1.3102398682883196E-2</v>
      </c>
      <c r="H328" s="17">
        <f>('Q1'!AC219-H$106)/H$107</f>
        <v>-0.60137979813486064</v>
      </c>
      <c r="I328" s="17">
        <f>('Q1'!AD219-I$106)/I$107</f>
        <v>4.1608681058797899E-2</v>
      </c>
      <c r="J328" s="17">
        <f>('Q1'!AE219-J$106)/J$107</f>
        <v>-0.56500848489478628</v>
      </c>
      <c r="K328" s="17">
        <f>('Q1'!AF219-K$106)/K$107</f>
        <v>-0.29123168161053425</v>
      </c>
      <c r="L328" s="17">
        <f>('Q1'!AG219-L$106)/L$107</f>
        <v>-0.59948129388822957</v>
      </c>
      <c r="M328" s="17">
        <f>('Q1'!AH219-M$106)/M$107</f>
        <v>-6.6297294783492902E-2</v>
      </c>
      <c r="N328" s="17">
        <f>('Q1'!AI219-N$106)/N$107</f>
        <v>-1.291827574599359</v>
      </c>
      <c r="O328" s="17">
        <f>('Q1'!AJ219-O$106)/O$107</f>
        <v>-0.43799661554565761</v>
      </c>
      <c r="P328" s="17">
        <f>('Q1'!AK219-P$106)/P$107</f>
        <v>-0.7233377612798193</v>
      </c>
      <c r="Q328" s="17">
        <f>('Q1'!AL219-Q$106)/Q$107</f>
        <v>-0.50704831305297471</v>
      </c>
      <c r="R328" s="17">
        <f>('Q1'!AM219-R$106)/R$107</f>
        <v>-0.42496237663349634</v>
      </c>
      <c r="S328" s="17">
        <f>('Q1'!AN219-S$106)/S$107</f>
        <v>-0.17497731346372583</v>
      </c>
    </row>
    <row r="329" spans="2:19">
      <c r="B329" s="17">
        <f>('Q1'!W220-B$106)/B$107</f>
        <v>-0.18474168672466859</v>
      </c>
      <c r="C329" s="17">
        <f>('Q1'!X220-C$106)/C$107</f>
        <v>-7.9928722358435844E-2</v>
      </c>
      <c r="D329" s="17">
        <f>('Q1'!Y220-D$106)/D$107</f>
        <v>-0.25566863574960375</v>
      </c>
      <c r="E329" s="17">
        <f>('Q1'!Z220-E$106)/E$107</f>
        <v>7.3790411850612608E-2</v>
      </c>
      <c r="F329" s="17">
        <f>('Q1'!AA220-F$106)/F$107</f>
        <v>-0.10160842746946155</v>
      </c>
      <c r="G329" s="17">
        <f>('Q1'!AB220-G$106)/G$107</f>
        <v>0.37896988601944992</v>
      </c>
      <c r="H329" s="17">
        <f>('Q1'!AC220-H$106)/H$107</f>
        <v>-1.7057689454857583</v>
      </c>
      <c r="I329" s="17">
        <f>('Q1'!AD220-I$106)/I$107</f>
        <v>-1.8725106343419071</v>
      </c>
      <c r="J329" s="17">
        <f>('Q1'!AE220-J$106)/J$107</f>
        <v>-0.97260642952330156</v>
      </c>
      <c r="K329" s="17">
        <f>('Q1'!AF220-K$106)/K$107</f>
        <v>0.45380826235856758</v>
      </c>
      <c r="L329" s="17">
        <f>('Q1'!AG220-L$106)/L$107</f>
        <v>0.53146774344846792</v>
      </c>
      <c r="M329" s="17">
        <f>('Q1'!AH220-M$106)/M$107</f>
        <v>-0.33488550012683416</v>
      </c>
      <c r="N329" s="17">
        <f>('Q1'!AI220-N$106)/N$107</f>
        <v>-0.22135151529410796</v>
      </c>
      <c r="O329" s="17">
        <f>('Q1'!AJ220-O$106)/O$107</f>
        <v>-0.33534185310814674</v>
      </c>
      <c r="P329" s="17">
        <f>('Q1'!AK220-P$106)/P$107</f>
        <v>-0.36893342672079049</v>
      </c>
      <c r="Q329" s="17">
        <f>('Q1'!AL220-Q$106)/Q$107</f>
        <v>0.47126475770658438</v>
      </c>
      <c r="R329" s="17">
        <f>('Q1'!AM220-R$106)/R$107</f>
        <v>0.15791804157456416</v>
      </c>
      <c r="S329" s="17">
        <f>('Q1'!AN220-S$106)/S$107</f>
        <v>-0.86309463076710091</v>
      </c>
    </row>
    <row r="330" spans="2:19">
      <c r="B330" s="17">
        <f>('Q1'!W221-B$106)/B$107</f>
        <v>-0.67818310971945694</v>
      </c>
      <c r="C330" s="17">
        <f>('Q1'!X221-C$106)/C$107</f>
        <v>-0.3590559899852192</v>
      </c>
      <c r="D330" s="17">
        <f>('Q1'!Y221-D$106)/D$107</f>
        <v>-0.26111294297214926</v>
      </c>
      <c r="E330" s="17">
        <f>('Q1'!Z221-E$106)/E$107</f>
        <v>-0.22304964654698978</v>
      </c>
      <c r="F330" s="17">
        <f>('Q1'!AA221-F$106)/F$107</f>
        <v>0.24362700451368033</v>
      </c>
      <c r="G330" s="17">
        <f>('Q1'!AB221-G$106)/G$107</f>
        <v>0.88946834248637929</v>
      </c>
      <c r="H330" s="17">
        <f>('Q1'!AC221-H$106)/H$107</f>
        <v>1.0935648014138724</v>
      </c>
      <c r="I330" s="17">
        <f>('Q1'!AD221-I$106)/I$107</f>
        <v>0.26121630048266575</v>
      </c>
      <c r="J330" s="17">
        <f>('Q1'!AE221-J$106)/J$107</f>
        <v>-0.31597943179049193</v>
      </c>
      <c r="K330" s="17">
        <f>('Q1'!AF221-K$106)/K$107</f>
        <v>-0.37460581300236334</v>
      </c>
      <c r="L330" s="17">
        <f>('Q1'!AG221-L$106)/L$107</f>
        <v>-0.12768432304660102</v>
      </c>
      <c r="M330" s="17">
        <f>('Q1'!AH221-M$106)/M$107</f>
        <v>-0.34709074410753415</v>
      </c>
      <c r="N330" s="17">
        <f>('Q1'!AI221-N$106)/N$107</f>
        <v>0.35320916445936784</v>
      </c>
      <c r="O330" s="17">
        <f>('Q1'!AJ221-O$106)/O$107</f>
        <v>0.57369875364248812</v>
      </c>
      <c r="P330" s="17">
        <f>('Q1'!AK221-P$106)/P$107</f>
        <v>0.94940268889528878</v>
      </c>
      <c r="Q330" s="17">
        <f>('Q1'!AL221-Q$106)/Q$107</f>
        <v>0.14651055468036911</v>
      </c>
      <c r="R330" s="17">
        <f>('Q1'!AM221-R$106)/R$107</f>
        <v>0.55989523226714277</v>
      </c>
      <c r="S330" s="17">
        <f>('Q1'!AN221-S$106)/S$107</f>
        <v>-0.44568008340372811</v>
      </c>
    </row>
    <row r="331" spans="2:19">
      <c r="B331" s="17">
        <f>('Q1'!W222-B$106)/B$107</f>
        <v>-0.56609717546360383</v>
      </c>
      <c r="C331" s="17">
        <f>('Q1'!X222-C$106)/C$107</f>
        <v>-0.32185562655449795</v>
      </c>
      <c r="D331" s="17">
        <f>('Q1'!Y222-D$106)/D$107</f>
        <v>-0.4375524598992625</v>
      </c>
      <c r="E331" s="17">
        <f>('Q1'!Z222-E$106)/E$107</f>
        <v>4.621042141782989E-2</v>
      </c>
      <c r="F331" s="17">
        <f>('Q1'!AA222-F$106)/F$107</f>
        <v>-0.19487697056175213</v>
      </c>
      <c r="G331" s="17">
        <f>('Q1'!AB222-G$106)/G$107</f>
        <v>0.48855789146746675</v>
      </c>
      <c r="H331" s="17">
        <f>('Q1'!AC222-H$106)/H$107</f>
        <v>-0.97187526064838725</v>
      </c>
      <c r="I331" s="17">
        <f>('Q1'!AD222-I$106)/I$107</f>
        <v>1.1668617123465175</v>
      </c>
      <c r="J331" s="17">
        <f>('Q1'!AE222-J$106)/J$107</f>
        <v>-0.66626552148111906</v>
      </c>
      <c r="K331" s="17">
        <f>('Q1'!AF222-K$106)/K$107</f>
        <v>0.2561699986755781</v>
      </c>
      <c r="L331" s="17">
        <f>('Q1'!AG222-L$106)/L$107</f>
        <v>-0.15242932512857235</v>
      </c>
      <c r="M331" s="17">
        <f>('Q1'!AH222-M$106)/M$107</f>
        <v>1.3125533553230646</v>
      </c>
      <c r="N331" s="17">
        <f>('Q1'!AI222-N$106)/N$107</f>
        <v>0.29919165142573084</v>
      </c>
      <c r="O331" s="17">
        <f>('Q1'!AJ222-O$106)/O$107</f>
        <v>-0.2879336890173253</v>
      </c>
      <c r="P331" s="17">
        <f>('Q1'!AK222-P$106)/P$107</f>
        <v>-0.28373651152433316</v>
      </c>
      <c r="Q331" s="17">
        <f>('Q1'!AL222-Q$106)/Q$107</f>
        <v>0.16625892274571349</v>
      </c>
      <c r="R331" s="17">
        <f>('Q1'!AM222-R$106)/R$107</f>
        <v>-0.12459421644754684</v>
      </c>
      <c r="S331" s="17">
        <f>('Q1'!AN222-S$106)/S$107</f>
        <v>-0.10145784233445007</v>
      </c>
    </row>
    <row r="332" spans="2:19">
      <c r="B332" s="17">
        <f>('Q1'!W223-B$106)/B$107</f>
        <v>0.18678105626105446</v>
      </c>
      <c r="C332" s="17">
        <f>('Q1'!X223-C$106)/C$107</f>
        <v>0.77149065846962706</v>
      </c>
      <c r="D332" s="17">
        <f>('Q1'!Y223-D$106)/D$107</f>
        <v>1.0873000744214301</v>
      </c>
      <c r="E332" s="17">
        <f>('Q1'!Z223-E$106)/E$107</f>
        <v>0.61385004726229275</v>
      </c>
      <c r="F332" s="17">
        <f>('Q1'!AA223-F$106)/F$107</f>
        <v>0.20182213927542628</v>
      </c>
      <c r="G332" s="17">
        <f>('Q1'!AB223-G$106)/G$107</f>
        <v>0.48718204979109886</v>
      </c>
      <c r="H332" s="17">
        <f>('Q1'!AC223-H$106)/H$107</f>
        <v>0.31553178149447303</v>
      </c>
      <c r="I332" s="17">
        <f>('Q1'!AD223-I$106)/I$107</f>
        <v>0.56231744901676572</v>
      </c>
      <c r="J332" s="17">
        <f>('Q1'!AE223-J$106)/J$107</f>
        <v>1.4252662064244301</v>
      </c>
      <c r="K332" s="17">
        <f>('Q1'!AF223-K$106)/K$107</f>
        <v>1.5948048870416325</v>
      </c>
      <c r="L332" s="17">
        <f>('Q1'!AG223-L$106)/L$107</f>
        <v>5.3344703218677701E-2</v>
      </c>
      <c r="M332" s="17">
        <f>('Q1'!AH223-M$106)/M$107</f>
        <v>-0.48923847641842333</v>
      </c>
      <c r="N332" s="17">
        <f>('Q1'!AI223-N$106)/N$107</f>
        <v>0.28449990521150825</v>
      </c>
      <c r="O332" s="17">
        <f>('Q1'!AJ223-O$106)/O$107</f>
        <v>0.17925531903018369</v>
      </c>
      <c r="P332" s="17">
        <f>('Q1'!AK223-P$106)/P$107</f>
        <v>1.994835505812936E-2</v>
      </c>
      <c r="Q332" s="17">
        <f>('Q1'!AL223-Q$106)/Q$107</f>
        <v>0.18667222941235082</v>
      </c>
      <c r="R332" s="17">
        <f>('Q1'!AM223-R$106)/R$107</f>
        <v>0.79517433618518041</v>
      </c>
      <c r="S332" s="17">
        <f>('Q1'!AN223-S$106)/S$107</f>
        <v>0.42483178446885295</v>
      </c>
    </row>
    <row r="333" spans="2:19">
      <c r="B333" s="17">
        <f>('Q1'!W224-B$106)/B$107</f>
        <v>-0.84435190961538231</v>
      </c>
      <c r="C333" s="17">
        <f>('Q1'!X224-C$106)/C$107</f>
        <v>-7.8028921761459619E-2</v>
      </c>
      <c r="D333" s="17">
        <f>('Q1'!Y224-D$106)/D$107</f>
        <v>-0.10228300409302668</v>
      </c>
      <c r="E333" s="17">
        <f>('Q1'!Z224-E$106)/E$107</f>
        <v>-0.10189797111848338</v>
      </c>
      <c r="F333" s="17">
        <f>('Q1'!AA224-F$106)/F$107</f>
        <v>0.31050939524290089</v>
      </c>
      <c r="G333" s="17">
        <f>('Q1'!AB224-G$106)/G$107</f>
        <v>-0.69862580226309312</v>
      </c>
      <c r="H333" s="17">
        <f>('Q1'!AC224-H$106)/H$107</f>
        <v>-0.26474867114616163</v>
      </c>
      <c r="I333" s="17">
        <f>('Q1'!AD224-I$106)/I$107</f>
        <v>0.53819897906830849</v>
      </c>
      <c r="J333" s="17">
        <f>('Q1'!AE224-J$106)/J$107</f>
        <v>-0.82767912376227959</v>
      </c>
      <c r="K333" s="17">
        <f>('Q1'!AF224-K$106)/K$107</f>
        <v>0.59032329544707551</v>
      </c>
      <c r="L333" s="17">
        <f>('Q1'!AG224-L$106)/L$107</f>
        <v>0.64336812354362161</v>
      </c>
      <c r="M333" s="17">
        <f>('Q1'!AH224-M$106)/M$107</f>
        <v>-0.65436612783264603</v>
      </c>
      <c r="N333" s="17">
        <f>('Q1'!AI224-N$106)/N$107</f>
        <v>0.1326085754033545</v>
      </c>
      <c r="O333" s="17">
        <f>('Q1'!AJ224-O$106)/O$107</f>
        <v>0.30525469013702444</v>
      </c>
      <c r="P333" s="17">
        <f>('Q1'!AK224-P$106)/P$107</f>
        <v>1.5413944434785183</v>
      </c>
      <c r="Q333" s="17">
        <f>('Q1'!AL224-Q$106)/Q$107</f>
        <v>0.86446666544452455</v>
      </c>
      <c r="R333" s="17">
        <f>('Q1'!AM224-R$106)/R$107</f>
        <v>0.58522779476126818</v>
      </c>
      <c r="S333" s="17">
        <f>('Q1'!AN224-S$106)/S$107</f>
        <v>5.3048716212513329E-2</v>
      </c>
    </row>
    <row r="334" spans="2:19">
      <c r="B334" s="17">
        <f>('Q1'!W225-B$106)/B$107</f>
        <v>-0.32296275914834083</v>
      </c>
      <c r="C334" s="17">
        <f>('Q1'!X225-C$106)/C$107</f>
        <v>-0.52311053886697967</v>
      </c>
      <c r="D334" s="17">
        <f>('Q1'!Y225-D$106)/D$107</f>
        <v>-0.30709800113455721</v>
      </c>
      <c r="E334" s="17">
        <f>('Q1'!Z225-E$106)/E$107</f>
        <v>9.061761664694408E-2</v>
      </c>
      <c r="F334" s="17">
        <f>('Q1'!AA225-F$106)/F$107</f>
        <v>-7.0516664269408877E-2</v>
      </c>
      <c r="G334" s="17">
        <f>('Q1'!AB225-G$106)/G$107</f>
        <v>-0.46274595529407536</v>
      </c>
      <c r="H334" s="17">
        <f>('Q1'!AC225-H$106)/H$107</f>
        <v>0.37107120103833507</v>
      </c>
      <c r="I334" s="17">
        <f>('Q1'!AD225-I$106)/I$107</f>
        <v>-8.2506043506090448E-2</v>
      </c>
      <c r="J334" s="17">
        <f>('Q1'!AE225-J$106)/J$107</f>
        <v>0.37851894766473998</v>
      </c>
      <c r="K334" s="17">
        <f>('Q1'!AF225-K$106)/K$107</f>
        <v>1.0965468300885368</v>
      </c>
      <c r="L334" s="17">
        <f>('Q1'!AG225-L$106)/L$107</f>
        <v>-6.525082487786088E-2</v>
      </c>
      <c r="M334" s="17">
        <f>('Q1'!AH225-M$106)/M$107</f>
        <v>-0.13040655898106754</v>
      </c>
      <c r="N334" s="17">
        <f>('Q1'!AI225-N$106)/N$107</f>
        <v>-1.259073765349048</v>
      </c>
      <c r="O334" s="17">
        <f>('Q1'!AJ225-O$106)/O$107</f>
        <v>-8.2317850009298657E-2</v>
      </c>
      <c r="P334" s="17">
        <f>('Q1'!AK225-P$106)/P$107</f>
        <v>-0.27674158670606019</v>
      </c>
      <c r="Q334" s="17">
        <f>('Q1'!AL225-Q$106)/Q$107</f>
        <v>-0.20817649442446459</v>
      </c>
      <c r="R334" s="17">
        <f>('Q1'!AM225-R$106)/R$107</f>
        <v>0.12583436650421184</v>
      </c>
      <c r="S334" s="17">
        <f>('Q1'!AN225-S$106)/S$107</f>
        <v>0.50832782102376706</v>
      </c>
    </row>
    <row r="335" spans="2:19">
      <c r="B335" s="17">
        <f>('Q1'!W226-B$106)/B$107</f>
        <v>-0.21345107779443678</v>
      </c>
      <c r="C335" s="17">
        <f>('Q1'!X226-C$106)/C$107</f>
        <v>-0.65435319698124816</v>
      </c>
      <c r="D335" s="17">
        <f>('Q1'!Y226-D$106)/D$107</f>
        <v>-0.52702490915098787</v>
      </c>
      <c r="E335" s="17">
        <f>('Q1'!Z226-E$106)/E$107</f>
        <v>-0.77628942162991466</v>
      </c>
      <c r="F335" s="17">
        <f>('Q1'!AA226-F$106)/F$107</f>
        <v>-1.5086852994765589</v>
      </c>
      <c r="G335" s="17">
        <f>('Q1'!AB226-G$106)/G$107</f>
        <v>-9.2386381857225641E-2</v>
      </c>
      <c r="H335" s="17">
        <f>('Q1'!AC226-H$106)/H$107</f>
        <v>-1.3369975364535946</v>
      </c>
      <c r="I335" s="17">
        <f>('Q1'!AD226-I$106)/I$107</f>
        <v>1.1402906514876281</v>
      </c>
      <c r="J335" s="17">
        <f>('Q1'!AE226-J$106)/J$107</f>
        <v>-2.4948772920058655</v>
      </c>
      <c r="K335" s="17">
        <f>('Q1'!AF226-K$106)/K$107</f>
        <v>-0.44639074998551104</v>
      </c>
      <c r="L335" s="17">
        <f>('Q1'!AG226-L$106)/L$107</f>
        <v>-0.51000529379576331</v>
      </c>
      <c r="M335" s="17">
        <f>('Q1'!AH226-M$106)/M$107</f>
        <v>1.3317436644509668</v>
      </c>
      <c r="N335" s="17">
        <f>('Q1'!AI226-N$106)/N$107</f>
        <v>3.5861431579403386E-2</v>
      </c>
      <c r="O335" s="17">
        <f>('Q1'!AJ226-O$106)/O$107</f>
        <v>-1.4416294402896774</v>
      </c>
      <c r="P335" s="17">
        <f>('Q1'!AK226-P$106)/P$107</f>
        <v>-0.50872031941943163</v>
      </c>
      <c r="Q335" s="17">
        <f>('Q1'!AL226-Q$106)/Q$107</f>
        <v>-1.7513409978041052</v>
      </c>
      <c r="R335" s="17">
        <f>('Q1'!AM226-R$106)/R$107</f>
        <v>-0.97382253288493381</v>
      </c>
      <c r="S335" s="17">
        <f>('Q1'!AN226-S$106)/S$107</f>
        <v>-3.3852372445306314</v>
      </c>
    </row>
    <row r="336" spans="2:19">
      <c r="B336" s="17">
        <f>('Q1'!W227-B$106)/B$107</f>
        <v>-0.55212316858658272</v>
      </c>
      <c r="C336" s="17">
        <f>('Q1'!X227-C$106)/C$107</f>
        <v>0.2036923034720432</v>
      </c>
      <c r="D336" s="17">
        <f>('Q1'!Y227-D$106)/D$107</f>
        <v>0.19047950977236472</v>
      </c>
      <c r="E336" s="17">
        <f>('Q1'!Z227-E$106)/E$107</f>
        <v>-0.11215099465020512</v>
      </c>
      <c r="F336" s="17">
        <f>('Q1'!AA227-F$106)/F$107</f>
        <v>-7.6320988995165123E-2</v>
      </c>
      <c r="G336" s="17">
        <f>('Q1'!AB227-G$106)/G$107</f>
        <v>-9.0322768460692912E-2</v>
      </c>
      <c r="H336" s="17">
        <f>('Q1'!AC227-H$106)/H$107</f>
        <v>1.5651425717352472</v>
      </c>
      <c r="I336" s="17">
        <f>('Q1'!AD227-I$106)/I$107</f>
        <v>1.3308375423216194</v>
      </c>
      <c r="J336" s="17">
        <f>('Q1'!AE227-J$106)/J$107</f>
        <v>1.3368009979127331</v>
      </c>
      <c r="K336" s="17">
        <f>('Q1'!AF227-K$106)/K$107</f>
        <v>1.1488344586880208</v>
      </c>
      <c r="L336" s="17">
        <f>('Q1'!AG227-L$106)/L$107</f>
        <v>0.95458047635027599</v>
      </c>
      <c r="M336" s="17">
        <f>('Q1'!AH227-M$106)/M$107</f>
        <v>0.11373652894553692</v>
      </c>
      <c r="N336" s="17">
        <f>('Q1'!AI227-N$106)/N$107</f>
        <v>0.1199975993018878</v>
      </c>
      <c r="O336" s="17">
        <f>('Q1'!AJ227-O$106)/O$107</f>
        <v>-6.8530323487352371E-2</v>
      </c>
      <c r="P336" s="17">
        <f>('Q1'!AK227-P$106)/P$107</f>
        <v>-1.8974401370879614</v>
      </c>
      <c r="Q336" s="17">
        <f>('Q1'!AL227-Q$106)/Q$107</f>
        <v>0.28046383182747253</v>
      </c>
      <c r="R336" s="17">
        <f>('Q1'!AM227-R$106)/R$107</f>
        <v>0.32685616408411883</v>
      </c>
      <c r="S336" s="17">
        <f>('Q1'!AN227-S$106)/S$107</f>
        <v>0.96904598199282144</v>
      </c>
    </row>
    <row r="337" spans="2:19">
      <c r="B337" s="17">
        <f>('Q1'!W228-B$106)/B$107</f>
        <v>-0.79097047580588364</v>
      </c>
      <c r="C337" s="17">
        <f>('Q1'!X228-C$106)/C$107</f>
        <v>-1.2916972195273857</v>
      </c>
      <c r="D337" s="17">
        <f>('Q1'!Y228-D$106)/D$107</f>
        <v>-1.5660553030425746</v>
      </c>
      <c r="E337" s="17">
        <f>('Q1'!Z228-E$106)/E$107</f>
        <v>-1.6647439541581313</v>
      </c>
      <c r="F337" s="17">
        <f>('Q1'!AA228-F$106)/F$107</f>
        <v>-1.912121585623217</v>
      </c>
      <c r="G337" s="17">
        <f>('Q1'!AB228-G$106)/G$107</f>
        <v>-1.08629301478836</v>
      </c>
      <c r="H337" s="17">
        <f>('Q1'!AC228-H$106)/H$107</f>
        <v>-0.63018790538462122</v>
      </c>
      <c r="I337" s="17">
        <f>('Q1'!AD228-I$106)/I$107</f>
        <v>-0.68853917435089107</v>
      </c>
      <c r="J337" s="17">
        <f>('Q1'!AE228-J$106)/J$107</f>
        <v>-1.0686377197937811</v>
      </c>
      <c r="K337" s="17">
        <f>('Q1'!AF228-K$106)/K$107</f>
        <v>-0.86948442411189442</v>
      </c>
      <c r="L337" s="17">
        <f>('Q1'!AG228-L$106)/L$107</f>
        <v>-1.7922299048280248</v>
      </c>
      <c r="M337" s="17">
        <f>('Q1'!AH228-M$106)/M$107</f>
        <v>-1.7513866191459457</v>
      </c>
      <c r="N337" s="17">
        <f>('Q1'!AI228-N$106)/N$107</f>
        <v>-1.8564526010403442</v>
      </c>
      <c r="O337" s="17">
        <f>('Q1'!AJ228-O$106)/O$107</f>
        <v>-1.6331769127798736</v>
      </c>
      <c r="P337" s="17">
        <f>('Q1'!AK228-P$106)/P$107</f>
        <v>-1.2605537233527813</v>
      </c>
      <c r="Q337" s="17">
        <f>('Q1'!AL228-Q$106)/Q$107</f>
        <v>-1.0410707111678223</v>
      </c>
      <c r="R337" s="17">
        <f>('Q1'!AM228-R$106)/R$107</f>
        <v>-1.1482705105455924</v>
      </c>
      <c r="S337" s="17">
        <f>('Q1'!AN228-S$106)/S$107</f>
        <v>-1.1195068927963781</v>
      </c>
    </row>
    <row r="338" spans="2:19">
      <c r="B338" s="17">
        <f>('Q1'!W229-B$106)/B$107</f>
        <v>0.82543972966966028</v>
      </c>
      <c r="C338" s="17">
        <f>('Q1'!X229-C$106)/C$107</f>
        <v>1.3734809791316887</v>
      </c>
      <c r="D338" s="17">
        <f>('Q1'!Y229-D$106)/D$107</f>
        <v>0.58147395618000985</v>
      </c>
      <c r="E338" s="17">
        <f>('Q1'!Z229-E$106)/E$107</f>
        <v>2.0221350477384195</v>
      </c>
      <c r="F338" s="17">
        <f>('Q1'!AA229-F$106)/F$107</f>
        <v>1.5332792150328443</v>
      </c>
      <c r="G338" s="17">
        <f>('Q1'!AB229-G$106)/G$107</f>
        <v>-0.90399031020904541</v>
      </c>
      <c r="H338" s="17">
        <f>('Q1'!AC229-H$106)/H$107</f>
        <v>1.0979518807123489</v>
      </c>
      <c r="I338" s="17">
        <f>('Q1'!AD229-I$106)/I$107</f>
        <v>0.82563113488541684</v>
      </c>
      <c r="J338" s="17">
        <f>('Q1'!AE229-J$106)/J$107</f>
        <v>0.54310779945373755</v>
      </c>
      <c r="K338" s="17">
        <f>('Q1'!AF229-K$106)/K$107</f>
        <v>-0.52195706102007777</v>
      </c>
      <c r="L338" s="17">
        <f>('Q1'!AG229-L$106)/L$107</f>
        <v>0.73968218139063346</v>
      </c>
      <c r="M338" s="17">
        <f>('Q1'!AH229-M$106)/M$107</f>
        <v>1.4616358422589466</v>
      </c>
      <c r="N338" s="17">
        <f>('Q1'!AI229-N$106)/N$107</f>
        <v>0.6226454102032043</v>
      </c>
      <c r="O338" s="17">
        <f>('Q1'!AJ229-O$106)/O$107</f>
        <v>1.7867482160694743</v>
      </c>
      <c r="P338" s="17">
        <f>('Q1'!AK229-P$106)/P$107</f>
        <v>0.2656560650022653</v>
      </c>
      <c r="Q338" s="17">
        <f>('Q1'!AL229-Q$106)/Q$107</f>
        <v>0.95792108560712175</v>
      </c>
      <c r="R338" s="17">
        <f>('Q1'!AM229-R$106)/R$107</f>
        <v>0.20163894173098545</v>
      </c>
      <c r="S338" s="17">
        <f>('Q1'!AN229-S$106)/S$107</f>
        <v>2.4421620529761774</v>
      </c>
    </row>
    <row r="339" spans="2:19">
      <c r="B339" s="17">
        <f>('Q1'!W230-B$106)/B$107</f>
        <v>0.22762063181574924</v>
      </c>
      <c r="C339" s="17">
        <f>('Q1'!X230-C$106)/C$107</f>
        <v>0.10134249069629901</v>
      </c>
      <c r="D339" s="17">
        <f>('Q1'!Y230-D$106)/D$107</f>
        <v>6.6189682300197172E-2</v>
      </c>
      <c r="E339" s="17">
        <f>('Q1'!Z230-E$106)/E$107</f>
        <v>-8.8189512216699767E-2</v>
      </c>
      <c r="F339" s="17">
        <f>('Q1'!AA230-F$106)/F$107</f>
        <v>0.90830725477031737</v>
      </c>
      <c r="G339" s="17">
        <f>('Q1'!AB230-G$106)/G$107</f>
        <v>-0.52216967282853</v>
      </c>
      <c r="H339" s="17">
        <f>('Q1'!AC230-H$106)/H$107</f>
        <v>-0.1785733788274329</v>
      </c>
      <c r="I339" s="17">
        <f>('Q1'!AD230-I$106)/I$107</f>
        <v>0.43462972005165401</v>
      </c>
      <c r="J339" s="17">
        <f>('Q1'!AE230-J$106)/J$107</f>
        <v>0.44150783805747351</v>
      </c>
      <c r="K339" s="17">
        <f>('Q1'!AF230-K$106)/K$107</f>
        <v>0.43004209197976379</v>
      </c>
      <c r="L339" s="17">
        <f>('Q1'!AG230-L$106)/L$107</f>
        <v>0.47302388250524718</v>
      </c>
      <c r="M339" s="17">
        <f>('Q1'!AH230-M$106)/M$107</f>
        <v>2.7215663219892483</v>
      </c>
      <c r="N339" s="17">
        <f>('Q1'!AI230-N$106)/N$107</f>
        <v>0.23523526990505197</v>
      </c>
      <c r="O339" s="17">
        <f>('Q1'!AJ230-O$106)/O$107</f>
        <v>0.27238733607698684</v>
      </c>
      <c r="P339" s="17">
        <f>('Q1'!AK230-P$106)/P$107</f>
        <v>0.13146172622446553</v>
      </c>
      <c r="Q339" s="17">
        <f>('Q1'!AL230-Q$106)/Q$107</f>
        <v>-0.52938345258299591</v>
      </c>
      <c r="R339" s="17">
        <f>('Q1'!AM230-R$106)/R$107</f>
        <v>0.75804843906027264</v>
      </c>
      <c r="S339" s="17">
        <f>('Q1'!AN230-S$106)/S$107</f>
        <v>0.28807180446378905</v>
      </c>
    </row>
    <row r="340" spans="2:19">
      <c r="B340" s="17">
        <f>('Q1'!W231-B$106)/B$107</f>
        <v>-0.51020324971160524</v>
      </c>
      <c r="C340" s="17">
        <f>('Q1'!X231-C$106)/C$107</f>
        <v>-0.51285244149637343</v>
      </c>
      <c r="D340" s="17">
        <f>('Q1'!Y231-D$106)/D$107</f>
        <v>-0.48153678105903519</v>
      </c>
      <c r="E340" s="17">
        <f>('Q1'!Z231-E$106)/E$107</f>
        <v>-0.20181784866523181</v>
      </c>
      <c r="F340" s="17">
        <f>('Q1'!AA231-F$106)/F$107</f>
        <v>-0.73728124609759604</v>
      </c>
      <c r="G340" s="17">
        <f>('Q1'!AB231-G$106)/G$107</f>
        <v>-0.31349942332172415</v>
      </c>
      <c r="H340" s="17">
        <f>('Q1'!AC231-H$106)/H$107</f>
        <v>-0.4931133408911631</v>
      </c>
      <c r="I340" s="17">
        <f>('Q1'!AD231-I$106)/I$107</f>
        <v>0.94985815934892959</v>
      </c>
      <c r="J340" s="17">
        <f>('Q1'!AE231-J$106)/J$107</f>
        <v>0.21495710603497273</v>
      </c>
      <c r="K340" s="17">
        <f>('Q1'!AF231-K$106)/K$107</f>
        <v>-0.40312508532050345</v>
      </c>
      <c r="L340" s="17">
        <f>('Q1'!AG231-L$106)/L$107</f>
        <v>4.1914262071222383E-2</v>
      </c>
      <c r="M340" s="17">
        <f>('Q1'!AH231-M$106)/M$107</f>
        <v>-6.6297294783492902E-2</v>
      </c>
      <c r="N340" s="17">
        <f>('Q1'!AI231-N$106)/N$107</f>
        <v>-0.49725328251131518</v>
      </c>
      <c r="O340" s="17">
        <f>('Q1'!AJ231-O$106)/O$107</f>
        <v>-0.93365510640305815</v>
      </c>
      <c r="P340" s="17">
        <f>('Q1'!AK231-P$106)/P$107</f>
        <v>0.68685308788790866</v>
      </c>
      <c r="Q340" s="17">
        <f>('Q1'!AL231-Q$106)/Q$107</f>
        <v>0.50145220853804851</v>
      </c>
      <c r="R340" s="17">
        <f>('Q1'!AM231-R$106)/R$107</f>
        <v>0.56442815191056761</v>
      </c>
      <c r="S340" s="17">
        <f>('Q1'!AN231-S$106)/S$107</f>
        <v>0.36874630728300073</v>
      </c>
    </row>
    <row r="341" spans="2:19">
      <c r="B341" s="17">
        <f>('Q1'!W232-B$106)/B$107</f>
        <v>0.50750128904524572</v>
      </c>
      <c r="C341" s="17">
        <f>('Q1'!X232-C$106)/C$107</f>
        <v>0.88876140789747293</v>
      </c>
      <c r="D341" s="17">
        <f>('Q1'!Y232-D$106)/D$107</f>
        <v>1.5966500160172958</v>
      </c>
      <c r="E341" s="17">
        <f>('Q1'!Z232-E$106)/E$107</f>
        <v>1.1467097978180925</v>
      </c>
      <c r="F341" s="17">
        <f>('Q1'!AA232-F$106)/F$107</f>
        <v>0.61791397103196111</v>
      </c>
      <c r="G341" s="17">
        <f>('Q1'!AB232-G$106)/G$107</f>
        <v>-0.11128141527508231</v>
      </c>
      <c r="H341" s="17">
        <f>('Q1'!AC232-H$106)/H$107</f>
        <v>0.32012489398832517</v>
      </c>
      <c r="I341" s="17">
        <f>('Q1'!AD232-I$106)/I$107</f>
        <v>0.31084711483558169</v>
      </c>
      <c r="J341" s="17">
        <f>('Q1'!AE232-J$106)/J$107</f>
        <v>0.85127080815618894</v>
      </c>
      <c r="K341" s="17">
        <f>('Q1'!AF232-K$106)/K$107</f>
        <v>-0.79138534484319145</v>
      </c>
      <c r="L341" s="17">
        <f>('Q1'!AG232-L$106)/L$107</f>
        <v>0.68569179922938905</v>
      </c>
      <c r="M341" s="17">
        <f>('Q1'!AH232-M$106)/M$107</f>
        <v>2.4647180454199065E-2</v>
      </c>
      <c r="N341" s="17">
        <f>('Q1'!AI232-N$106)/N$107</f>
        <v>-9.5376983034767326E-2</v>
      </c>
      <c r="O341" s="17">
        <f>('Q1'!AJ232-O$106)/O$107</f>
        <v>0.5568991462537568</v>
      </c>
      <c r="P341" s="17">
        <f>('Q1'!AK232-P$106)/P$107</f>
        <v>0.2772499524608989</v>
      </c>
      <c r="Q341" s="17">
        <f>('Q1'!AL232-Q$106)/Q$107</f>
        <v>0.46957558088608609</v>
      </c>
      <c r="R341" s="17">
        <f>('Q1'!AM232-R$106)/R$107</f>
        <v>1.1891188138000868</v>
      </c>
      <c r="S341" s="17">
        <f>('Q1'!AN232-S$106)/S$107</f>
        <v>-0.17741057388869499</v>
      </c>
    </row>
    <row r="342" spans="2:19">
      <c r="B342" s="17">
        <f>('Q1'!W233-B$106)/B$107</f>
        <v>-1.1114668829832139</v>
      </c>
      <c r="C342" s="17">
        <f>('Q1'!X233-C$106)/C$107</f>
        <v>-1.2713783807835071</v>
      </c>
      <c r="D342" s="17">
        <f>('Q1'!Y233-D$106)/D$107</f>
        <v>-1.0702284706554555</v>
      </c>
      <c r="E342" s="17">
        <f>('Q1'!Z233-E$106)/E$107</f>
        <v>-1.0632017466001498</v>
      </c>
      <c r="F342" s="17">
        <f>('Q1'!AA233-F$106)/F$107</f>
        <v>-1.1884371036061094</v>
      </c>
      <c r="G342" s="17">
        <f>('Q1'!AB233-G$106)/G$107</f>
        <v>-1.0583687750144575</v>
      </c>
      <c r="H342" s="17">
        <f>('Q1'!AC233-H$106)/H$107</f>
        <v>-2.0521494156337394</v>
      </c>
      <c r="I342" s="17">
        <f>('Q1'!AD233-I$106)/I$107</f>
        <v>-0.67475218783111079</v>
      </c>
      <c r="J342" s="17">
        <f>('Q1'!AE233-J$106)/J$107</f>
        <v>-1.6847977702000818</v>
      </c>
      <c r="K342" s="17">
        <f>('Q1'!AF233-K$106)/K$107</f>
        <v>0.30261035638558254</v>
      </c>
      <c r="L342" s="17">
        <f>('Q1'!AG233-L$106)/L$107</f>
        <v>-0.31849433587524062</v>
      </c>
      <c r="M342" s="17">
        <f>('Q1'!AH233-M$106)/M$107</f>
        <v>-0.45155343518177271</v>
      </c>
      <c r="N342" s="17">
        <f>('Q1'!AI233-N$106)/N$107</f>
        <v>-1.1240316273415678</v>
      </c>
      <c r="O342" s="17">
        <f>('Q1'!AJ233-O$106)/O$107</f>
        <v>-0.61142337013129466</v>
      </c>
      <c r="P342" s="17">
        <f>('Q1'!AK233-P$106)/P$107</f>
        <v>-1.3867626275439082</v>
      </c>
      <c r="Q342" s="17">
        <f>('Q1'!AL233-Q$106)/Q$107</f>
        <v>-0.78511252001921505</v>
      </c>
      <c r="R342" s="17">
        <f>('Q1'!AM233-R$106)/R$107</f>
        <v>-0.81027020545359418</v>
      </c>
      <c r="S342" s="17">
        <f>('Q1'!AN233-S$106)/S$107</f>
        <v>-1.4118181803912386</v>
      </c>
    </row>
    <row r="343" spans="2:19">
      <c r="B343" s="17">
        <f>('Q1'!W234-B$106)/B$107</f>
        <v>8.6972337235262334E-2</v>
      </c>
      <c r="C343" s="17">
        <f>('Q1'!X234-C$106)/C$107</f>
        <v>0.72441554977221423</v>
      </c>
      <c r="D343" s="17">
        <f>('Q1'!Y234-D$106)/D$107</f>
        <v>0.5211726983146564</v>
      </c>
      <c r="E343" s="17">
        <f>('Q1'!Z234-E$106)/E$107</f>
        <v>1.1273992692103483</v>
      </c>
      <c r="F343" s="17">
        <f>('Q1'!AA234-F$106)/F$107</f>
        <v>0.38584251098404854</v>
      </c>
      <c r="G343" s="17">
        <f>('Q1'!AB234-G$106)/G$107</f>
        <v>0.26302555172638115</v>
      </c>
      <c r="H343" s="17">
        <f>('Q1'!AC234-H$106)/H$107</f>
        <v>2.0357811610968382</v>
      </c>
      <c r="I343" s="17">
        <f>('Q1'!AD234-I$106)/I$107</f>
        <v>1.1405380149878224</v>
      </c>
      <c r="J343" s="17">
        <f>('Q1'!AE234-J$106)/J$107</f>
        <v>1.4991288279026351</v>
      </c>
      <c r="K343" s="17">
        <f>('Q1'!AF234-K$106)/K$107</f>
        <v>0.80162261348192299</v>
      </c>
      <c r="L343" s="17">
        <f>('Q1'!AG234-L$106)/L$107</f>
        <v>0.72506767796863358</v>
      </c>
      <c r="M343" s="17">
        <f>('Q1'!AH234-M$106)/M$107</f>
        <v>0.18407013618674203</v>
      </c>
      <c r="N343" s="17">
        <f>('Q1'!AI234-N$106)/N$107</f>
        <v>0.80809040933988174</v>
      </c>
      <c r="O343" s="17">
        <f>('Q1'!AJ234-O$106)/O$107</f>
        <v>0.83956279567169212</v>
      </c>
      <c r="P343" s="17">
        <f>('Q1'!AK234-P$106)/P$107</f>
        <v>0.98656279452144091</v>
      </c>
      <c r="Q343" s="17">
        <f>('Q1'!AL234-Q$106)/Q$107</f>
        <v>0.35177061232521073</v>
      </c>
      <c r="R343" s="17">
        <f>('Q1'!AM234-R$106)/R$107</f>
        <v>0.93701133633828093</v>
      </c>
      <c r="S343" s="17">
        <f>('Q1'!AN234-S$106)/S$107</f>
        <v>1.2780700013150217</v>
      </c>
    </row>
    <row r="344" spans="2:19">
      <c r="B344" s="17">
        <f>('Q1'!W235-B$106)/B$107</f>
        <v>-0.20693248615590651</v>
      </c>
      <c r="C344" s="17">
        <f>('Q1'!X235-C$106)/C$107</f>
        <v>0.48371774270720291</v>
      </c>
      <c r="D344" s="17">
        <f>('Q1'!Y235-D$106)/D$107</f>
        <v>0.31442596916860605</v>
      </c>
      <c r="E344" s="17">
        <f>('Q1'!Z235-E$106)/E$107</f>
        <v>0.11441542562693265</v>
      </c>
      <c r="F344" s="17">
        <f>('Q1'!AA235-F$106)/F$107</f>
        <v>-0.28957791608622457</v>
      </c>
      <c r="G344" s="17">
        <f>('Q1'!AB235-G$106)/G$107</f>
        <v>0.53530749494030361</v>
      </c>
      <c r="H344" s="17">
        <f>('Q1'!AC235-H$106)/H$107</f>
        <v>-0.13003349912095077</v>
      </c>
      <c r="I344" s="17">
        <f>('Q1'!AD235-I$106)/I$107</f>
        <v>1.3575577083972807</v>
      </c>
      <c r="J344" s="17">
        <f>('Q1'!AE235-J$106)/J$107</f>
        <v>0.1875807397381859</v>
      </c>
      <c r="K344" s="17">
        <f>('Q1'!AF235-K$106)/K$107</f>
        <v>-1.7765965695157815</v>
      </c>
      <c r="L344" s="17">
        <f>('Q1'!AG235-L$106)/L$107</f>
        <v>-3.5076604710278243E-2</v>
      </c>
      <c r="M344" s="17">
        <f>('Q1'!AH235-M$106)/M$107</f>
        <v>0.86786878749780016</v>
      </c>
      <c r="N344" s="17">
        <f>('Q1'!AI235-N$106)/N$107</f>
        <v>0.15989623294415484</v>
      </c>
      <c r="O344" s="17">
        <f>('Q1'!AJ235-O$106)/O$107</f>
        <v>-0.13487851568758047</v>
      </c>
      <c r="P344" s="17">
        <f>('Q1'!AK235-P$106)/P$107</f>
        <v>0.45773459935251054</v>
      </c>
      <c r="Q344" s="17">
        <f>('Q1'!AL235-Q$106)/Q$107</f>
        <v>-0.28131983442397557</v>
      </c>
      <c r="R344" s="17">
        <f>('Q1'!AM235-R$106)/R$107</f>
        <v>6.5536777150606948E-2</v>
      </c>
      <c r="S344" s="17">
        <f>('Q1'!AN235-S$106)/S$107</f>
        <v>0.94677950165106384</v>
      </c>
    </row>
    <row r="345" spans="2:19">
      <c r="B345" s="17">
        <f>('Q1'!W236-B$106)/B$107</f>
        <v>-0.98810278862585932</v>
      </c>
      <c r="C345" s="17">
        <f>('Q1'!X236-C$106)/C$107</f>
        <v>-1.0284338295957551</v>
      </c>
      <c r="D345" s="17">
        <f>('Q1'!Y236-D$106)/D$107</f>
        <v>-0.67280189792193246</v>
      </c>
      <c r="E345" s="17">
        <f>('Q1'!Z236-E$106)/E$107</f>
        <v>-0.8464106434274512</v>
      </c>
      <c r="F345" s="17">
        <f>('Q1'!AA236-F$106)/F$107</f>
        <v>-1.2055323098005863</v>
      </c>
      <c r="G345" s="17">
        <f>('Q1'!AB236-G$106)/G$107</f>
        <v>-2.8089684009671143</v>
      </c>
      <c r="H345" s="17">
        <f>('Q1'!AC236-H$106)/H$107</f>
        <v>-0.97053998313448708</v>
      </c>
      <c r="I345" s="17">
        <f>('Q1'!AD236-I$106)/I$107</f>
        <v>0.34619719864666043</v>
      </c>
      <c r="J345" s="17">
        <f>('Q1'!AE236-J$106)/J$107</f>
        <v>-1.3012328840557652</v>
      </c>
      <c r="K345" s="17">
        <f>('Q1'!AF236-K$106)/K$107</f>
        <v>-1.4674148112518417</v>
      </c>
      <c r="L345" s="17">
        <f>('Q1'!AG236-L$106)/L$107</f>
        <v>-0.44157458661025023</v>
      </c>
      <c r="M345" s="17">
        <f>('Q1'!AH236-M$106)/M$107</f>
        <v>-1.863113012725613</v>
      </c>
      <c r="N345" s="17">
        <f>('Q1'!AI236-N$106)/N$107</f>
        <v>-0.57610554115995161</v>
      </c>
      <c r="O345" s="17">
        <f>('Q1'!AJ236-O$106)/O$107</f>
        <v>-1.0892735126074651</v>
      </c>
      <c r="P345" s="17">
        <f>('Q1'!AK236-P$106)/P$107</f>
        <v>-0.41563162990559471</v>
      </c>
      <c r="Q345" s="17">
        <f>('Q1'!AL236-Q$106)/Q$107</f>
        <v>-0.54946067946068977</v>
      </c>
      <c r="R345" s="17">
        <f>('Q1'!AM236-R$106)/R$107</f>
        <v>-3.9983339430823411E-3</v>
      </c>
      <c r="S345" s="17">
        <f>('Q1'!AN236-S$106)/S$107</f>
        <v>-1.2875970102963197</v>
      </c>
    </row>
    <row r="346" spans="2:19">
      <c r="B346" s="17">
        <f>('Q1'!W237-B$106)/B$107</f>
        <v>0.98529521624997696</v>
      </c>
      <c r="C346" s="17">
        <f>('Q1'!X237-C$106)/C$107</f>
        <v>0.45377679548100786</v>
      </c>
      <c r="D346" s="17">
        <f>('Q1'!Y237-D$106)/D$107</f>
        <v>0.71153009019761271</v>
      </c>
      <c r="E346" s="17">
        <f>('Q1'!Z237-E$106)/E$107</f>
        <v>0.67662213569568153</v>
      </c>
      <c r="F346" s="17">
        <f>('Q1'!AA237-F$106)/F$107</f>
        <v>0.88947730301703187</v>
      </c>
      <c r="G346" s="17">
        <f>('Q1'!AB237-G$106)/G$107</f>
        <v>0.33772872703227214</v>
      </c>
      <c r="H346" s="17">
        <f>('Q1'!AC237-H$106)/H$107</f>
        <v>0.90018970864037051</v>
      </c>
      <c r="I346" s="17">
        <f>('Q1'!AD237-I$106)/I$107</f>
        <v>0.53063770367747887</v>
      </c>
      <c r="J346" s="17">
        <f>('Q1'!AE237-J$106)/J$107</f>
        <v>0.97691185968371352</v>
      </c>
      <c r="K346" s="17">
        <f>('Q1'!AF237-K$106)/K$107</f>
        <v>0.26520425535990022</v>
      </c>
      <c r="L346" s="17">
        <f>('Q1'!AG237-L$106)/L$107</f>
        <v>-0.31107263916202027</v>
      </c>
      <c r="M346" s="17">
        <f>('Q1'!AH237-M$106)/M$107</f>
        <v>-0.31184546517738121</v>
      </c>
      <c r="N346" s="17">
        <f>('Q1'!AI237-N$106)/N$107</f>
        <v>1.0311283990121054</v>
      </c>
      <c r="O346" s="17">
        <f>('Q1'!AJ237-O$106)/O$107</f>
        <v>0.9453293879282717</v>
      </c>
      <c r="P346" s="17">
        <f>('Q1'!AK237-P$106)/P$107</f>
        <v>0.46355697054979045</v>
      </c>
      <c r="Q346" s="17">
        <f>('Q1'!AL237-Q$106)/Q$107</f>
        <v>-0.34819789572436244</v>
      </c>
      <c r="R346" s="17">
        <f>('Q1'!AM237-R$106)/R$107</f>
        <v>-1.7864532674269449E-3</v>
      </c>
      <c r="S346" s="17">
        <f>('Q1'!AN237-S$106)/S$107</f>
        <v>1.0946098470860601</v>
      </c>
    </row>
    <row r="347" spans="2:19">
      <c r="B347" s="17">
        <f>('Q1'!W238-B$106)/B$107</f>
        <v>1.3750824241600823</v>
      </c>
      <c r="C347" s="17">
        <f>('Q1'!X238-C$106)/C$107</f>
        <v>0.62327153191766205</v>
      </c>
      <c r="D347" s="17">
        <f>('Q1'!Y238-D$106)/D$107</f>
        <v>0.5956001663239836</v>
      </c>
      <c r="E347" s="17">
        <f>('Q1'!Z238-E$106)/E$107</f>
        <v>0.32152788594223769</v>
      </c>
      <c r="F347" s="17">
        <f>('Q1'!AA238-F$106)/F$107</f>
        <v>-0.12302535893591666</v>
      </c>
      <c r="G347" s="17">
        <f>('Q1'!AB238-G$106)/G$107</f>
        <v>-0.10041822240311329</v>
      </c>
      <c r="H347" s="17">
        <f>('Q1'!AC238-H$106)/H$107</f>
        <v>0.27000811245893624</v>
      </c>
      <c r="I347" s="17">
        <f>('Q1'!AD238-I$106)/I$107</f>
        <v>-0.1283965461337464</v>
      </c>
      <c r="J347" s="17">
        <f>('Q1'!AE238-J$106)/J$107</f>
        <v>0.44796069136356231</v>
      </c>
      <c r="K347" s="17">
        <f>('Q1'!AF238-K$106)/K$107</f>
        <v>1.054507706243635</v>
      </c>
      <c r="L347" s="17">
        <f>('Q1'!AG238-L$106)/L$107</f>
        <v>-0.21231555475201244</v>
      </c>
      <c r="M347" s="17">
        <f>('Q1'!AH238-M$106)/M$107</f>
        <v>0.77988496986538769</v>
      </c>
      <c r="N347" s="17">
        <f>('Q1'!AI238-N$106)/N$107</f>
        <v>0.16662049104167626</v>
      </c>
      <c r="O347" s="17">
        <f>('Q1'!AJ238-O$106)/O$107</f>
        <v>-0.4541916429460458</v>
      </c>
      <c r="P347" s="17">
        <f>('Q1'!AK238-P$106)/P$107</f>
        <v>0.76782172445850583</v>
      </c>
      <c r="Q347" s="17">
        <f>('Q1'!AL238-Q$106)/Q$107</f>
        <v>1.3085961851529566E-2</v>
      </c>
      <c r="R347" s="17">
        <f>('Q1'!AM238-R$106)/R$107</f>
        <v>0.23977693153144228</v>
      </c>
      <c r="S347" s="17">
        <f>('Q1'!AN238-S$106)/S$107</f>
        <v>-1.2132032222454099</v>
      </c>
    </row>
    <row r="348" spans="2:19">
      <c r="B348" s="17">
        <f>('Q1'!W239-B$106)/B$107</f>
        <v>0.10433378489951095</v>
      </c>
      <c r="C348" s="17">
        <f>('Q1'!X239-C$106)/C$107</f>
        <v>0.50101693540015735</v>
      </c>
      <c r="D348" s="17">
        <f>('Q1'!Y239-D$106)/D$107</f>
        <v>0.61647386093846468</v>
      </c>
      <c r="E348" s="17">
        <f>('Q1'!Z239-E$106)/E$107</f>
        <v>0.36554008781537389</v>
      </c>
      <c r="F348" s="17">
        <f>('Q1'!AA239-F$106)/F$107</f>
        <v>0.55406725158498182</v>
      </c>
      <c r="G348" s="17">
        <f>('Q1'!AB239-G$106)/G$107</f>
        <v>7.9047485686344031E-3</v>
      </c>
      <c r="H348" s="17">
        <f>('Q1'!AC239-H$106)/H$107</f>
        <v>-0.60711968728200971</v>
      </c>
      <c r="I348" s="17">
        <f>('Q1'!AD239-I$106)/I$107</f>
        <v>-0.41309717575216681</v>
      </c>
      <c r="J348" s="17">
        <f>('Q1'!AE239-J$106)/J$107</f>
        <v>0.38210989921374766</v>
      </c>
      <c r="K348" s="17">
        <f>('Q1'!AF239-K$106)/K$107</f>
        <v>-3.0781166665985308E-3</v>
      </c>
      <c r="L348" s="17">
        <f>('Q1'!AG239-L$106)/L$107</f>
        <v>0.19327077073154597</v>
      </c>
      <c r="M348" s="17">
        <f>('Q1'!AH239-M$106)/M$107</f>
        <v>0.38705200090114644</v>
      </c>
      <c r="N348" s="17">
        <f>('Q1'!AI239-N$106)/N$107</f>
        <v>0.5430449227898474</v>
      </c>
      <c r="O348" s="17">
        <f>('Q1'!AJ239-O$106)/O$107</f>
        <v>0.18403704747814825</v>
      </c>
      <c r="P348" s="17">
        <f>('Q1'!AK239-P$106)/P$107</f>
        <v>0.43905322104223166</v>
      </c>
      <c r="Q348" s="17">
        <f>('Q1'!AL239-Q$106)/Q$107</f>
        <v>-6.4220964988771084E-2</v>
      </c>
      <c r="R348" s="17">
        <f>('Q1'!AM239-R$106)/R$107</f>
        <v>0.54721422705628109</v>
      </c>
      <c r="S348" s="17">
        <f>('Q1'!AN239-S$106)/S$107</f>
        <v>-2.0781687993212752E-2</v>
      </c>
    </row>
    <row r="349" spans="2:19">
      <c r="B349" s="17">
        <f>('Q1'!W240-B$106)/B$107</f>
        <v>0.59438485938317709</v>
      </c>
      <c r="C349" s="17">
        <f>('Q1'!X240-C$106)/C$107</f>
        <v>0.42372053884387856</v>
      </c>
      <c r="D349" s="17">
        <f>('Q1'!Y240-D$106)/D$107</f>
        <v>0.55497631945160264</v>
      </c>
      <c r="E349" s="17">
        <f>('Q1'!Z240-E$106)/E$107</f>
        <v>0.58663331218975334</v>
      </c>
      <c r="F349" s="17">
        <f>('Q1'!AA240-F$106)/F$107</f>
        <v>-6.7777925760762206E-2</v>
      </c>
      <c r="G349" s="17">
        <f>('Q1'!AB240-G$106)/G$107</f>
        <v>0.78082087289308488</v>
      </c>
      <c r="H349" s="17">
        <f>('Q1'!AC240-H$106)/H$107</f>
        <v>0.19573506128532572</v>
      </c>
      <c r="I349" s="17">
        <f>('Q1'!AD240-I$106)/I$107</f>
        <v>0.30914237154625912</v>
      </c>
      <c r="J349" s="17">
        <f>('Q1'!AE240-J$106)/J$107</f>
        <v>0.53536461131483648</v>
      </c>
      <c r="K349" s="17">
        <f>('Q1'!AF240-K$106)/K$107</f>
        <v>0.37789029689791626</v>
      </c>
      <c r="L349" s="17">
        <f>('Q1'!AG240-L$106)/L$107</f>
        <v>0.28469865788286897</v>
      </c>
      <c r="M349" s="17">
        <f>('Q1'!AH240-M$106)/M$107</f>
        <v>-9.0997682952889056E-2</v>
      </c>
      <c r="N349" s="17">
        <f>('Q1'!AI240-N$106)/N$107</f>
        <v>-0.14996194722032755</v>
      </c>
      <c r="O349" s="17">
        <f>('Q1'!AJ240-O$106)/O$107</f>
        <v>-0.57823036863373556</v>
      </c>
      <c r="P349" s="17">
        <f>('Q1'!AK240-P$106)/P$107</f>
        <v>0.69003886591253383</v>
      </c>
      <c r="Q349" s="17">
        <f>('Q1'!AL240-Q$106)/Q$107</f>
        <v>3.3782118037066322E-2</v>
      </c>
      <c r="R349" s="17">
        <f>('Q1'!AM240-R$106)/R$107</f>
        <v>0.41533694863405385</v>
      </c>
      <c r="S349" s="17">
        <f>('Q1'!AN240-S$106)/S$107</f>
        <v>2.5671378799997265E-2</v>
      </c>
    </row>
    <row r="350" spans="2:19">
      <c r="B350" s="17">
        <f>('Q1'!W241-B$106)/B$107</f>
        <v>-0.68726412483717014</v>
      </c>
      <c r="C350" s="17">
        <f>('Q1'!X241-C$106)/C$107</f>
        <v>-0.66116105212176546</v>
      </c>
      <c r="D350" s="17">
        <f>('Q1'!Y241-D$106)/D$107</f>
        <v>-0.72318086042694729</v>
      </c>
      <c r="E350" s="17">
        <f>('Q1'!Z241-E$106)/E$107</f>
        <v>-0.61353467876081369</v>
      </c>
      <c r="F350" s="17">
        <f>('Q1'!AA241-F$106)/F$107</f>
        <v>-0.40358142554129756</v>
      </c>
      <c r="G350" s="17">
        <f>('Q1'!AB241-G$106)/G$107</f>
        <v>-0.37558076668193735</v>
      </c>
      <c r="H350" s="17">
        <f>('Q1'!AC241-H$106)/H$107</f>
        <v>-1.164257349198202</v>
      </c>
      <c r="I350" s="17">
        <f>('Q1'!AD241-I$106)/I$107</f>
        <v>-0.19310974820971469</v>
      </c>
      <c r="J350" s="17">
        <f>('Q1'!AE241-J$106)/J$107</f>
        <v>-0.57740559820511295</v>
      </c>
      <c r="K350" s="17">
        <f>('Q1'!AF241-K$106)/K$107</f>
        <v>-0.88589489109176722</v>
      </c>
      <c r="L350" s="17">
        <f>('Q1'!AG241-L$106)/L$107</f>
        <v>0.36048080782238112</v>
      </c>
      <c r="M350" s="17">
        <f>('Q1'!AH241-M$106)/M$107</f>
        <v>-0.11582744921499145</v>
      </c>
      <c r="N350" s="17">
        <f>('Q1'!AI241-N$106)/N$107</f>
        <v>-1.6552062909869694</v>
      </c>
      <c r="O350" s="17">
        <f>('Q1'!AJ241-O$106)/O$107</f>
        <v>-0.38202403614095076</v>
      </c>
      <c r="P350" s="17">
        <f>('Q1'!AK241-P$106)/P$107</f>
        <v>0.2553111488495613</v>
      </c>
      <c r="Q350" s="17">
        <f>('Q1'!AL241-Q$106)/Q$107</f>
        <v>0.51027257814754423</v>
      </c>
      <c r="R350" s="17">
        <f>('Q1'!AM241-R$106)/R$107</f>
        <v>0.84133702042094871</v>
      </c>
      <c r="S350" s="17">
        <f>('Q1'!AN241-S$106)/S$107</f>
        <v>0.90938370420220005</v>
      </c>
    </row>
    <row r="351" spans="2:19">
      <c r="B351" s="17">
        <f>('Q1'!W242-B$106)/B$107</f>
        <v>-1.0922995489046594</v>
      </c>
      <c r="C351" s="17">
        <f>('Q1'!X242-C$106)/C$107</f>
        <v>-1.287142882306183</v>
      </c>
      <c r="D351" s="17">
        <f>('Q1'!Y242-D$106)/D$107</f>
        <v>-1.5082802585351798</v>
      </c>
      <c r="E351" s="17">
        <f>('Q1'!Z242-E$106)/E$107</f>
        <v>-1.239924571047516</v>
      </c>
      <c r="F351" s="17">
        <f>('Q1'!AA242-F$106)/F$107</f>
        <v>-1.5912927599896667</v>
      </c>
      <c r="G351" s="17">
        <f>('Q1'!AB242-G$106)/G$107</f>
        <v>-1.404360650142336</v>
      </c>
      <c r="H351" s="17">
        <f>('Q1'!AC242-H$106)/H$107</f>
        <v>-0.3426907085779663</v>
      </c>
      <c r="I351" s="17">
        <f>('Q1'!AD242-I$106)/I$107</f>
        <v>-1.8422206278074631</v>
      </c>
      <c r="J351" s="17">
        <f>('Q1'!AE242-J$106)/J$107</f>
        <v>-1.281040436436347</v>
      </c>
      <c r="K351" s="17">
        <f>('Q1'!AF242-K$106)/K$107</f>
        <v>-1.6112479840680367</v>
      </c>
      <c r="L351" s="17">
        <f>('Q1'!AG242-L$106)/L$107</f>
        <v>-1.7881192477794927</v>
      </c>
      <c r="M351" s="17">
        <f>('Q1'!AH242-M$106)/M$107</f>
        <v>1.6469843871257002</v>
      </c>
      <c r="N351" s="17">
        <f>('Q1'!AI242-N$106)/N$107</f>
        <v>-1.6821059539760113</v>
      </c>
      <c r="O351" s="17">
        <f>('Q1'!AJ242-O$106)/O$107</f>
        <v>-0.98407008160755183</v>
      </c>
      <c r="P351" s="17">
        <f>('Q1'!AK242-P$106)/P$107</f>
        <v>-1.289319255531356</v>
      </c>
      <c r="Q351" s="17">
        <f>('Q1'!AL242-Q$106)/Q$107</f>
        <v>-0.65688934113351327</v>
      </c>
      <c r="R351" s="17">
        <f>('Q1'!AM242-R$106)/R$107</f>
        <v>-0.75167901808955928</v>
      </c>
      <c r="S351" s="17">
        <f>('Q1'!AN242-S$106)/S$107</f>
        <v>-1.4091480772604363</v>
      </c>
    </row>
    <row r="352" spans="2:19">
      <c r="B352" s="17">
        <f>('Q1'!W243-B$106)/B$107</f>
        <v>-3.2585912472411405</v>
      </c>
      <c r="C352" s="17">
        <f>('Q1'!X243-C$106)/C$107</f>
        <v>-2.402846324902784</v>
      </c>
      <c r="D352" s="17">
        <f>('Q1'!Y243-D$106)/D$107</f>
        <v>-2.7745173422494953</v>
      </c>
      <c r="E352" s="17">
        <f>('Q1'!Z243-E$106)/E$107</f>
        <v>-2.9132792590654955</v>
      </c>
      <c r="F352" s="17">
        <f>('Q1'!AA243-F$106)/F$107</f>
        <v>-3.8528262134670022</v>
      </c>
      <c r="G352" s="17">
        <f>('Q1'!AB243-G$106)/G$107</f>
        <v>-4.9788805705397428</v>
      </c>
      <c r="H352" s="17">
        <f>('Q1'!AC243-H$106)/H$107</f>
        <v>-1.6062619704369956</v>
      </c>
      <c r="I352" s="17">
        <f>('Q1'!AD243-I$106)/I$107</f>
        <v>-0.71062442596827902</v>
      </c>
      <c r="J352" s="17">
        <f>('Q1'!AE243-J$106)/J$107</f>
        <v>-3.7203842106583194</v>
      </c>
      <c r="K352" s="17">
        <f>('Q1'!AF243-K$106)/K$107</f>
        <v>-0.45335516819132243</v>
      </c>
      <c r="L352" s="17">
        <f>('Q1'!AG243-L$106)/L$107</f>
        <v>-2.5710590729481644</v>
      </c>
      <c r="M352" s="17">
        <f>('Q1'!AH243-M$106)/M$107</f>
        <v>-1.8607119880051968</v>
      </c>
      <c r="N352" s="17">
        <f>('Q1'!AI243-N$106)/N$107</f>
        <v>-3.6135418935696819</v>
      </c>
      <c r="O352" s="17">
        <f>('Q1'!AJ243-O$106)/O$107</f>
        <v>-2.7721022105229993</v>
      </c>
      <c r="P352" s="17">
        <f>('Q1'!AK243-P$106)/P$107</f>
        <v>-0.84400600358405764</v>
      </c>
      <c r="Q352" s="17">
        <f>('Q1'!AL243-Q$106)/Q$107</f>
        <v>0.10336013710319571</v>
      </c>
      <c r="R352" s="17">
        <f>('Q1'!AM243-R$106)/R$107</f>
        <v>-0.44732896453783416</v>
      </c>
      <c r="S352" s="17">
        <f>('Q1'!AN243-S$106)/S$107</f>
        <v>-2.0249217310539702</v>
      </c>
    </row>
    <row r="353" spans="2:19">
      <c r="B353" s="17">
        <f>('Q1'!W244-B$106)/B$107</f>
        <v>1.3096209118593787</v>
      </c>
      <c r="C353" s="17">
        <f>('Q1'!X244-C$106)/C$107</f>
        <v>1.1757216779540831</v>
      </c>
      <c r="D353" s="17">
        <f>('Q1'!Y244-D$106)/D$107</f>
        <v>0.6216722597562272</v>
      </c>
      <c r="E353" s="17">
        <f>('Q1'!Z244-E$106)/E$107</f>
        <v>1.2893754021673229</v>
      </c>
      <c r="F353" s="17">
        <f>('Q1'!AA244-F$106)/F$107</f>
        <v>1.1500466964169674E-2</v>
      </c>
      <c r="G353" s="17">
        <f>('Q1'!AB244-G$106)/G$107</f>
        <v>1.8206519278679376</v>
      </c>
      <c r="H353" s="17">
        <f>('Q1'!AC244-H$106)/H$107</f>
        <v>0.49849589634622921</v>
      </c>
      <c r="I353" s="17">
        <f>('Q1'!AD244-I$106)/I$107</f>
        <v>1.2596953109924613</v>
      </c>
      <c r="J353" s="17">
        <f>('Q1'!AE244-J$106)/J$107</f>
        <v>1.1512925565036585</v>
      </c>
      <c r="K353" s="17">
        <f>('Q1'!AF244-K$106)/K$107</f>
        <v>2.8281783694963432</v>
      </c>
      <c r="L353" s="17">
        <f>('Q1'!AG244-L$106)/L$107</f>
        <v>0.61172024356533083</v>
      </c>
      <c r="M353" s="17">
        <f>('Q1'!AH244-M$106)/M$107</f>
        <v>0.5206320980108593</v>
      </c>
      <c r="N353" s="17">
        <f>('Q1'!AI244-N$106)/N$107</f>
        <v>2.9200192652477839E-2</v>
      </c>
      <c r="O353" s="17">
        <f>('Q1'!AJ244-O$106)/O$107</f>
        <v>-0.36922571738251969</v>
      </c>
      <c r="P353" s="17">
        <f>('Q1'!AK244-P$106)/P$107</f>
        <v>1.1719548179012695</v>
      </c>
      <c r="Q353" s="17">
        <f>('Q1'!AL244-Q$106)/Q$107</f>
        <v>1.9320031319760358</v>
      </c>
      <c r="R353" s="17">
        <f>('Q1'!AM244-R$106)/R$107</f>
        <v>1.5505499062895238</v>
      </c>
      <c r="S353" s="17">
        <f>('Q1'!AN244-S$106)/S$107</f>
        <v>1.7378623486038296</v>
      </c>
    </row>
    <row r="354" spans="2:19">
      <c r="B354" s="17">
        <f>('Q1'!W245-B$106)/B$107</f>
        <v>0.50703488199960556</v>
      </c>
      <c r="C354" s="17">
        <f>('Q1'!X245-C$106)/C$107</f>
        <v>-6.6334286817611651E-2</v>
      </c>
      <c r="D354" s="17">
        <f>('Q1'!Y245-D$106)/D$107</f>
        <v>0.18693054083454913</v>
      </c>
      <c r="E354" s="17">
        <f>('Q1'!Z245-E$106)/E$107</f>
        <v>-0.13921395543728146</v>
      </c>
      <c r="F354" s="17">
        <f>('Q1'!AA245-F$106)/F$107</f>
        <v>-0.41430849711132001</v>
      </c>
      <c r="G354" s="17">
        <f>('Q1'!AB245-G$106)/G$107</f>
        <v>0.59102350003622073</v>
      </c>
      <c r="H354" s="17">
        <f>('Q1'!AC245-H$106)/H$107</f>
        <v>0.41073027454441685</v>
      </c>
      <c r="I354" s="17">
        <f>('Q1'!AD245-I$106)/I$107</f>
        <v>-0.34557019944589179</v>
      </c>
      <c r="J354" s="17">
        <f>('Q1'!AE245-J$106)/J$107</f>
        <v>1.5191708941724584</v>
      </c>
      <c r="K354" s="17">
        <f>('Q1'!AF245-K$106)/K$107</f>
        <v>-0.14090913469124172</v>
      </c>
      <c r="L354" s="17">
        <f>('Q1'!AG245-L$106)/L$107</f>
        <v>0.40963729929500575</v>
      </c>
      <c r="M354" s="17">
        <f>('Q1'!AH245-M$106)/M$107</f>
        <v>2.0119183589138339</v>
      </c>
      <c r="N354" s="17">
        <f>('Q1'!AI245-N$106)/N$107</f>
        <v>-1.1886393285100858</v>
      </c>
      <c r="O354" s="17">
        <f>('Q1'!AJ245-O$106)/O$107</f>
        <v>0.40728664755118882</v>
      </c>
      <c r="P354" s="17">
        <f>('Q1'!AK245-P$106)/P$107</f>
        <v>0.50991686289446092</v>
      </c>
      <c r="Q354" s="17">
        <f>('Q1'!AL245-Q$106)/Q$107</f>
        <v>-0.27041864024097639</v>
      </c>
      <c r="R354" s="17">
        <f>('Q1'!AM245-R$106)/R$107</f>
        <v>0.13162318871294612</v>
      </c>
      <c r="S354" s="17">
        <f>('Q1'!AN245-S$106)/S$107</f>
        <v>-0.16870946075730381</v>
      </c>
    </row>
    <row r="355" spans="2:19">
      <c r="B355" s="17">
        <f>('Q1'!W246-B$106)/B$107</f>
        <v>-6.6785041509846974E-2</v>
      </c>
      <c r="C355" s="17">
        <f>('Q1'!X246-C$106)/C$107</f>
        <v>-0.23161943941002267</v>
      </c>
      <c r="D355" s="17">
        <f>('Q1'!Y246-D$106)/D$107</f>
        <v>-0.52166917473469887</v>
      </c>
      <c r="E355" s="17">
        <f>('Q1'!Z246-E$106)/E$107</f>
        <v>0.64508219350462503</v>
      </c>
      <c r="F355" s="17">
        <f>('Q1'!AA246-F$106)/F$107</f>
        <v>0.90712652811953087</v>
      </c>
      <c r="G355" s="17">
        <f>('Q1'!AB246-G$106)/G$107</f>
        <v>0.56323481861918501</v>
      </c>
      <c r="H355" s="17">
        <f>('Q1'!AC246-H$106)/H$107</f>
        <v>0.22085119418895907</v>
      </c>
      <c r="I355" s="17">
        <f>('Q1'!AD246-I$106)/I$107</f>
        <v>0.4709842673897629</v>
      </c>
      <c r="J355" s="17">
        <f>('Q1'!AE246-J$106)/J$107</f>
        <v>1.1953795304021857</v>
      </c>
      <c r="K355" s="17">
        <f>('Q1'!AF246-K$106)/K$107</f>
        <v>-2.3021617029477861</v>
      </c>
      <c r="L355" s="17">
        <f>('Q1'!AG246-L$106)/L$107</f>
        <v>-0.10343571364691832</v>
      </c>
      <c r="M355" s="17">
        <f>('Q1'!AH246-M$106)/M$107</f>
        <v>0.64446760140994785</v>
      </c>
      <c r="N355" s="17">
        <f>('Q1'!AI246-N$106)/N$107</f>
        <v>-0.27718402074174203</v>
      </c>
      <c r="O355" s="17">
        <f>('Q1'!AJ246-O$106)/O$107</f>
        <v>0.46457206301494441</v>
      </c>
      <c r="P355" s="17">
        <f>('Q1'!AK246-P$106)/P$107</f>
        <v>1.12781010376789</v>
      </c>
      <c r="Q355" s="17">
        <f>('Q1'!AL246-Q$106)/Q$107</f>
        <v>0.84259177341938707</v>
      </c>
      <c r="R355" s="17">
        <f>('Q1'!AM246-R$106)/R$107</f>
        <v>1.2678002985884829</v>
      </c>
      <c r="S355" s="17">
        <f>('Q1'!AN246-S$106)/S$107</f>
        <v>-0.37505006157480564</v>
      </c>
    </row>
    <row r="356" spans="2:19">
      <c r="B356" s="17">
        <f>('Q1'!W247-B$106)/B$107</f>
        <v>-0.67557069795786617</v>
      </c>
      <c r="C356" s="17">
        <f>('Q1'!X247-C$106)/C$107</f>
        <v>0.40436112762846688</v>
      </c>
      <c r="D356" s="17">
        <f>('Q1'!Y247-D$106)/D$107</f>
        <v>0.19498394231789501</v>
      </c>
      <c r="E356" s="17">
        <f>('Q1'!Z247-E$106)/E$107</f>
        <v>-0.20747730940888406</v>
      </c>
      <c r="F356" s="17">
        <f>('Q1'!AA247-F$106)/F$107</f>
        <v>0.49152191524233135</v>
      </c>
      <c r="G356" s="17">
        <f>('Q1'!AB247-G$106)/G$107</f>
        <v>-1.0039159319401008</v>
      </c>
      <c r="H356" s="17">
        <f>('Q1'!AC247-H$106)/H$107</f>
        <v>1.3721308564584482</v>
      </c>
      <c r="I356" s="17">
        <f>('Q1'!AD247-I$106)/I$107</f>
        <v>1.7529142990977922</v>
      </c>
      <c r="J356" s="17">
        <f>('Q1'!AE247-J$106)/J$107</f>
        <v>1.1368643780223542</v>
      </c>
      <c r="K356" s="17">
        <f>('Q1'!AF247-K$106)/K$107</f>
        <v>2.8531773252220507</v>
      </c>
      <c r="L356" s="17">
        <f>('Q1'!AG247-L$106)/L$107</f>
        <v>-0.33750961217039094</v>
      </c>
      <c r="M356" s="17">
        <f>('Q1'!AH247-M$106)/M$107</f>
        <v>0.90750148696923771</v>
      </c>
      <c r="N356" s="17">
        <f>('Q1'!AI247-N$106)/N$107</f>
        <v>-0.74893901626928694</v>
      </c>
      <c r="O356" s="17">
        <f>('Q1'!AJ247-O$106)/O$107</f>
        <v>-0.2633269325528545</v>
      </c>
      <c r="P356" s="17">
        <f>('Q1'!AK247-P$106)/P$107</f>
        <v>1.260194266344677</v>
      </c>
      <c r="Q356" s="17">
        <f>('Q1'!AL247-Q$106)/Q$107</f>
        <v>0.97978641937978883</v>
      </c>
      <c r="R356" s="17">
        <f>('Q1'!AM247-R$106)/R$107</f>
        <v>-5.7588432505143401E-2</v>
      </c>
      <c r="S356" s="17">
        <f>('Q1'!AN247-S$106)/S$107</f>
        <v>0.15416547665291352</v>
      </c>
    </row>
    <row r="357" spans="2:19">
      <c r="B357" s="17">
        <f>('Q1'!W248-B$106)/B$107</f>
        <v>0.84130487985032998</v>
      </c>
      <c r="C357" s="17">
        <f>('Q1'!X248-C$106)/C$107</f>
        <v>0.22034266979262385</v>
      </c>
      <c r="D357" s="17">
        <f>('Q1'!Y248-D$106)/D$107</f>
        <v>0.4236412962748321</v>
      </c>
      <c r="E357" s="17">
        <f>('Q1'!Z248-E$106)/E$107</f>
        <v>0.25541266629157183</v>
      </c>
      <c r="F357" s="17">
        <f>('Q1'!AA248-F$106)/F$107</f>
        <v>2.120917086354893</v>
      </c>
      <c r="G357" s="17">
        <f>('Q1'!AB248-G$106)/G$107</f>
        <v>1.0967055738165625</v>
      </c>
      <c r="H357" s="17">
        <f>('Q1'!AC248-H$106)/H$107</f>
        <v>2.14795211846402</v>
      </c>
      <c r="I357" s="17">
        <f>('Q1'!AD248-I$106)/I$107</f>
        <v>1.0647656541422541</v>
      </c>
      <c r="J357" s="17">
        <f>('Q1'!AE248-J$106)/J$107</f>
        <v>0.49684846552505946</v>
      </c>
      <c r="K357" s="17">
        <f>('Q1'!AF248-K$106)/K$107</f>
        <v>-0.20537354526300791</v>
      </c>
      <c r="L357" s="17">
        <f>('Q1'!AG248-L$106)/L$107</f>
        <v>0.91855560410480352</v>
      </c>
      <c r="M357" s="17">
        <f>('Q1'!AH248-M$106)/M$107</f>
        <v>-0.65971366949102139</v>
      </c>
      <c r="N357" s="17">
        <f>('Q1'!AI248-N$106)/N$107</f>
        <v>-0.17250329935672168</v>
      </c>
      <c r="O357" s="17">
        <f>('Q1'!AJ248-O$106)/O$107</f>
        <v>1.9102436799442213</v>
      </c>
      <c r="P357" s="17">
        <f>('Q1'!AK248-P$106)/P$107</f>
        <v>1.7055482004648459</v>
      </c>
      <c r="Q357" s="17">
        <f>('Q1'!AL248-Q$106)/Q$107</f>
        <v>0.53683457900850462</v>
      </c>
      <c r="R357" s="17">
        <f>('Q1'!AM248-R$106)/R$107</f>
        <v>1.0987017137145663</v>
      </c>
      <c r="S357" s="17">
        <f>('Q1'!AN248-S$106)/S$107</f>
        <v>-5.3788627627697663E-2</v>
      </c>
    </row>
    <row r="358" spans="2:19">
      <c r="B358" s="17">
        <f>('Q1'!W249-B$106)/B$107</f>
        <v>-1.2085908670982684</v>
      </c>
      <c r="C358" s="17">
        <f>('Q1'!X249-C$106)/C$107</f>
        <v>-0.67322841995012117</v>
      </c>
      <c r="D358" s="17">
        <f>('Q1'!Y249-D$106)/D$107</f>
        <v>-0.5891480567643953</v>
      </c>
      <c r="E358" s="17">
        <f>('Q1'!Z249-E$106)/E$107</f>
        <v>-1.3703981753400614</v>
      </c>
      <c r="F358" s="17">
        <f>('Q1'!AA249-F$106)/F$107</f>
        <v>-1.3210875652173735</v>
      </c>
      <c r="G358" s="17">
        <f>('Q1'!AB249-G$106)/G$107</f>
        <v>-1.4954250901427979</v>
      </c>
      <c r="H358" s="17">
        <f>('Q1'!AC249-H$106)/H$107</f>
        <v>0.48873615815244947</v>
      </c>
      <c r="I358" s="17">
        <f>('Q1'!AD249-I$106)/I$107</f>
        <v>-5.5034881153602763E-2</v>
      </c>
      <c r="J358" s="17">
        <f>('Q1'!AE249-J$106)/J$107</f>
        <v>-2.8138138567131116E-3</v>
      </c>
      <c r="K358" s="17">
        <f>('Q1'!AF249-K$106)/K$107</f>
        <v>-0.54430670193172193</v>
      </c>
      <c r="L358" s="17">
        <f>('Q1'!AG249-L$106)/L$107</f>
        <v>-0.26481604328359754</v>
      </c>
      <c r="M358" s="17">
        <f>('Q1'!AH249-M$106)/M$107</f>
        <v>-0.19040269023945525</v>
      </c>
      <c r="N358" s="17">
        <f>('Q1'!AI249-N$106)/N$107</f>
        <v>-0.38905376089780291</v>
      </c>
      <c r="O358" s="17">
        <f>('Q1'!AJ249-O$106)/O$107</f>
        <v>-1.2185779292184786</v>
      </c>
      <c r="P358" s="17">
        <f>('Q1'!AK249-P$106)/P$107</f>
        <v>-1.1456301107409117</v>
      </c>
      <c r="Q358" s="17">
        <f>('Q1'!AL249-Q$106)/Q$107</f>
        <v>-0.85521062733914632</v>
      </c>
      <c r="R358" s="17">
        <f>('Q1'!AM249-R$106)/R$107</f>
        <v>-0.96186083587455595</v>
      </c>
      <c r="S358" s="17">
        <f>('Q1'!AN249-S$106)/S$107</f>
        <v>-0.10092529903084008</v>
      </c>
    </row>
    <row r="359" spans="2:19">
      <c r="B359" s="17">
        <f>('Q1'!W250-B$106)/B$107</f>
        <v>0.78473639116657679</v>
      </c>
      <c r="C359" s="17">
        <f>('Q1'!X250-C$106)/C$107</f>
        <v>-0.17724444550783025</v>
      </c>
      <c r="D359" s="17">
        <f>('Q1'!Y250-D$106)/D$107</f>
        <v>8.8440012607819876E-2</v>
      </c>
      <c r="E359" s="17">
        <f>('Q1'!Z250-E$106)/E$107</f>
        <v>-0.36101979583441313</v>
      </c>
      <c r="F359" s="17">
        <f>('Q1'!AA250-F$106)/F$107</f>
        <v>8.8324430259067901E-2</v>
      </c>
      <c r="G359" s="17">
        <f>('Q1'!AB250-G$106)/G$107</f>
        <v>0.62338623927987813</v>
      </c>
      <c r="H359" s="17">
        <f>('Q1'!AC250-H$106)/H$107</f>
        <v>9.6096347597084172E-2</v>
      </c>
      <c r="I359" s="17">
        <f>('Q1'!AD250-I$106)/I$107</f>
        <v>-0.41670242273400737</v>
      </c>
      <c r="J359" s="17">
        <f>('Q1'!AE250-J$106)/J$107</f>
        <v>0.1725580667912251</v>
      </c>
      <c r="K359" s="17">
        <f>('Q1'!AF250-K$106)/K$107</f>
        <v>-0.61699754767080917</v>
      </c>
      <c r="L359" s="17">
        <f>('Q1'!AG250-L$106)/L$107</f>
        <v>-1.114904546871156</v>
      </c>
      <c r="M359" s="17">
        <f>('Q1'!AH250-M$106)/M$107</f>
        <v>-0.7947300808766844</v>
      </c>
      <c r="N359" s="17">
        <f>('Q1'!AI250-N$106)/N$107</f>
        <v>-1.1742903024839939</v>
      </c>
      <c r="O359" s="17">
        <f>('Q1'!AJ250-O$106)/O$107</f>
        <v>-0.7917685456568101</v>
      </c>
      <c r="P359" s="17">
        <f>('Q1'!AK250-P$106)/P$107</f>
        <v>-0.7758024721160649</v>
      </c>
      <c r="Q359" s="17">
        <f>('Q1'!AL250-Q$106)/Q$107</f>
        <v>-0.4500083900117694</v>
      </c>
      <c r="R359" s="17">
        <f>('Q1'!AM250-R$106)/R$107</f>
        <v>-0.6155282319727905</v>
      </c>
      <c r="S359" s="17">
        <f>('Q1'!AN250-S$106)/S$107</f>
        <v>-1.2393928701233681</v>
      </c>
    </row>
    <row r="360" spans="2:19">
      <c r="B360" s="17">
        <f>('Q1'!W251-B$106)/B$107</f>
        <v>2.2920800248344526</v>
      </c>
      <c r="C360" s="17">
        <f>('Q1'!X251-C$106)/C$107</f>
        <v>1.6115717433173526</v>
      </c>
      <c r="D360" s="17">
        <f>('Q1'!Y251-D$106)/D$107</f>
        <v>2.3874868271887975</v>
      </c>
      <c r="E360" s="17">
        <f>('Q1'!Z251-E$106)/E$107</f>
        <v>2.9486534419352166</v>
      </c>
      <c r="F360" s="17">
        <f>('Q1'!AA251-F$106)/F$107</f>
        <v>3.2223283565267109</v>
      </c>
      <c r="G360" s="17">
        <f>('Q1'!AB251-G$106)/G$107</f>
        <v>4.9489909077394882</v>
      </c>
      <c r="H360" s="17">
        <f>('Q1'!AC251-H$106)/H$107</f>
        <v>1.7420761778666756</v>
      </c>
      <c r="I360" s="17">
        <f>('Q1'!AD251-I$106)/I$107</f>
        <v>0.21595426590584887</v>
      </c>
      <c r="J360" s="17">
        <f>('Q1'!AE251-J$106)/J$107</f>
        <v>1.170810586027687</v>
      </c>
      <c r="K360" s="17">
        <f>('Q1'!AF251-K$106)/K$107</f>
        <v>2.2138821763588719</v>
      </c>
      <c r="L360" s="17">
        <f>('Q1'!AG251-L$106)/L$107</f>
        <v>3.2645592901367344</v>
      </c>
      <c r="M360" s="17">
        <f>('Q1'!AH251-M$106)/M$107</f>
        <v>0.76385168012185733</v>
      </c>
      <c r="N360" s="17">
        <f>('Q1'!AI251-N$106)/N$107</f>
        <v>3.1985270640828158</v>
      </c>
      <c r="O360" s="17">
        <f>('Q1'!AJ251-O$106)/O$107</f>
        <v>3.2165894024047934</v>
      </c>
      <c r="P360" s="17">
        <f>('Q1'!AK251-P$106)/P$107</f>
        <v>0.61338416797448259</v>
      </c>
      <c r="Q360" s="17">
        <f>('Q1'!AL251-Q$106)/Q$107</f>
        <v>0.16918844353160448</v>
      </c>
      <c r="R360" s="17">
        <f>('Q1'!AM251-R$106)/R$107</f>
        <v>0.56496283855243268</v>
      </c>
      <c r="S360" s="17">
        <f>('Q1'!AN251-S$106)/S$107</f>
        <v>1.3809987949023013</v>
      </c>
    </row>
    <row r="361" spans="2:19">
      <c r="B361" s="17">
        <f>('Q1'!W252-B$106)/B$107</f>
        <v>0.93568491655453523</v>
      </c>
      <c r="C361" s="17">
        <f>('Q1'!X252-C$106)/C$107</f>
        <v>0.59874774538934494</v>
      </c>
      <c r="D361" s="17">
        <f>('Q1'!Y252-D$106)/D$107</f>
        <v>0.79032805294561537</v>
      </c>
      <c r="E361" s="17">
        <f>('Q1'!Z252-E$106)/E$107</f>
        <v>1.0038796160692547</v>
      </c>
      <c r="F361" s="17">
        <f>('Q1'!AA252-F$106)/F$107</f>
        <v>0.47672392560593829</v>
      </c>
      <c r="G361" s="17">
        <f>('Q1'!AB252-G$106)/G$107</f>
        <v>0.71999151878492906</v>
      </c>
      <c r="H361" s="17">
        <f>('Q1'!AC252-H$106)/H$107</f>
        <v>0.16406632569262447</v>
      </c>
      <c r="I361" s="17">
        <f>('Q1'!AD252-I$106)/I$107</f>
        <v>-0.11069742998678658</v>
      </c>
      <c r="J361" s="17">
        <f>('Q1'!AE252-J$106)/J$107</f>
        <v>-0.44592384604276941</v>
      </c>
      <c r="K361" s="17">
        <f>('Q1'!AF252-K$106)/K$107</f>
        <v>-0.55140312344851594</v>
      </c>
      <c r="L361" s="17">
        <f>('Q1'!AG252-L$106)/L$107</f>
        <v>9.8274988196914798E-2</v>
      </c>
      <c r="M361" s="17">
        <f>('Q1'!AH252-M$106)/M$107</f>
        <v>1.989888241778345</v>
      </c>
      <c r="N361" s="17">
        <f>('Q1'!AI252-N$106)/N$107</f>
        <v>1.1908257304468644</v>
      </c>
      <c r="O361" s="17">
        <f>('Q1'!AJ252-O$106)/O$107</f>
        <v>0.57848442094682939</v>
      </c>
      <c r="P361" s="17">
        <f>('Q1'!AK252-P$106)/P$107</f>
        <v>0.82038423817556838</v>
      </c>
      <c r="Q361" s="17">
        <f>('Q1'!AL252-Q$106)/Q$107</f>
        <v>4.8924623818729827E-2</v>
      </c>
      <c r="R361" s="17">
        <f>('Q1'!AM252-R$106)/R$107</f>
        <v>0.37084395442198181</v>
      </c>
      <c r="S361" s="17">
        <f>('Q1'!AN252-S$106)/S$107</f>
        <v>0.37542558684031951</v>
      </c>
    </row>
    <row r="362" spans="2:19">
      <c r="B362" s="17">
        <f>('Q1'!W253-B$106)/B$107</f>
        <v>-0.79581144866124043</v>
      </c>
      <c r="C362" s="17">
        <f>('Q1'!X253-C$106)/C$107</f>
        <v>-0.23467845978812099</v>
      </c>
      <c r="D362" s="17">
        <f>('Q1'!Y253-D$106)/D$107</f>
        <v>2.0171449567358161E-2</v>
      </c>
      <c r="E362" s="17">
        <f>('Q1'!Z253-E$106)/E$107</f>
        <v>-0.53557477550610089</v>
      </c>
      <c r="F362" s="17">
        <f>('Q1'!AA253-F$106)/F$107</f>
        <v>-0.4902439040863677</v>
      </c>
      <c r="G362" s="17">
        <f>('Q1'!AB253-G$106)/G$107</f>
        <v>2.5529337851049245</v>
      </c>
      <c r="H362" s="17">
        <f>('Q1'!AC253-H$106)/H$107</f>
        <v>0.74928242684295299</v>
      </c>
      <c r="I362" s="17">
        <f>('Q1'!AD253-I$106)/I$107</f>
        <v>-1.695616922194606</v>
      </c>
      <c r="J362" s="17">
        <f>('Q1'!AE253-J$106)/J$107</f>
        <v>-0.45566499558796214</v>
      </c>
      <c r="K362" s="17">
        <f>('Q1'!AF253-K$106)/K$107</f>
        <v>-0.47619076584098896</v>
      </c>
      <c r="L362" s="17">
        <f>('Q1'!AG253-L$106)/L$107</f>
        <v>-0.54492536756250642</v>
      </c>
      <c r="M362" s="17">
        <f>('Q1'!AH253-M$106)/M$107</f>
        <v>-0.4856391827913617</v>
      </c>
      <c r="N362" s="17">
        <f>('Q1'!AI253-N$106)/N$107</f>
        <v>-0.23768584714381263</v>
      </c>
      <c r="O362" s="17">
        <f>('Q1'!AJ253-O$106)/O$107</f>
        <v>-0.11081868909949398</v>
      </c>
      <c r="P362" s="17">
        <f>('Q1'!AK253-P$106)/P$107</f>
        <v>-0.28285963779117901</v>
      </c>
      <c r="Q362" s="17">
        <f>('Q1'!AL253-Q$106)/Q$107</f>
        <v>-0.29224130485584421</v>
      </c>
      <c r="R362" s="17">
        <f>('Q1'!AM253-R$106)/R$107</f>
        <v>0.38537699697867195</v>
      </c>
      <c r="S362" s="17">
        <f>('Q1'!AN253-S$106)/S$107</f>
        <v>-0.84330992671046157</v>
      </c>
    </row>
    <row r="363" spans="2:19">
      <c r="B363" s="17">
        <f>('Q1'!W254-B$106)/B$107</f>
        <v>1.6799682305506445</v>
      </c>
      <c r="C363" s="17">
        <f>('Q1'!X254-C$106)/C$107</f>
        <v>1.4528286279132827</v>
      </c>
      <c r="D363" s="17">
        <f>('Q1'!Y254-D$106)/D$107</f>
        <v>1.6628199819861009</v>
      </c>
      <c r="E363" s="17">
        <f>('Q1'!Z254-E$106)/E$107</f>
        <v>1.2279082168048698</v>
      </c>
      <c r="F363" s="17">
        <f>('Q1'!AA254-F$106)/F$107</f>
        <v>1.3793277185961423</v>
      </c>
      <c r="G363" s="17">
        <f>('Q1'!AB254-G$106)/G$107</f>
        <v>1.3747655831781013E-2</v>
      </c>
      <c r="H363" s="17">
        <f>('Q1'!AC254-H$106)/H$107</f>
        <v>2.3601852284556526</v>
      </c>
      <c r="I363" s="17">
        <f>('Q1'!AD254-I$106)/I$107</f>
        <v>-0.75324446635007825</v>
      </c>
      <c r="J363" s="17">
        <f>('Q1'!AE254-J$106)/J$107</f>
        <v>-2.7309763937881936E-2</v>
      </c>
      <c r="K363" s="17">
        <f>('Q1'!AF254-K$106)/K$107</f>
        <v>-1.0092863626375375</v>
      </c>
      <c r="L363" s="17">
        <f>('Q1'!AG254-L$106)/L$107</f>
        <v>1.7382977039635681</v>
      </c>
      <c r="M363" s="17">
        <f>('Q1'!AH254-M$106)/M$107</f>
        <v>0.26353677923569419</v>
      </c>
      <c r="N363" s="17">
        <f>('Q1'!AI254-N$106)/N$107</f>
        <v>2.4202572563363964</v>
      </c>
      <c r="O363" s="17">
        <f>('Q1'!AJ254-O$106)/O$107</f>
        <v>0.99109533509067826</v>
      </c>
      <c r="P363" s="17">
        <f>('Q1'!AK254-P$106)/P$107</f>
        <v>-0.96636958824400887</v>
      </c>
      <c r="Q363" s="17">
        <f>('Q1'!AL254-Q$106)/Q$107</f>
        <v>-0.44668016865051491</v>
      </c>
      <c r="R363" s="17">
        <f>('Q1'!AM254-R$106)/R$107</f>
        <v>-0.12692407078594856</v>
      </c>
      <c r="S363" s="17">
        <f>('Q1'!AN254-S$106)/S$107</f>
        <v>-0.1166429825424203</v>
      </c>
    </row>
    <row r="364" spans="2:19">
      <c r="B364" s="17">
        <f>('Q1'!W255-B$106)/B$107</f>
        <v>1.2907717059708208</v>
      </c>
      <c r="C364" s="17">
        <f>('Q1'!X255-C$106)/C$107</f>
        <v>0.94574088493891306</v>
      </c>
      <c r="D364" s="17">
        <f>('Q1'!Y255-D$106)/D$107</f>
        <v>0.27690248781549753</v>
      </c>
      <c r="E364" s="17">
        <f>('Q1'!Z255-E$106)/E$107</f>
        <v>0.87169901911623648</v>
      </c>
      <c r="F364" s="17">
        <f>('Q1'!AA255-F$106)/F$107</f>
        <v>1.1518894418378238</v>
      </c>
      <c r="G364" s="17">
        <f>('Q1'!AB255-G$106)/G$107</f>
        <v>0.42808315101034133</v>
      </c>
      <c r="H364" s="17">
        <f>('Q1'!AC255-H$106)/H$107</f>
        <v>0.69057842140388304</v>
      </c>
      <c r="I364" s="17">
        <f>('Q1'!AD255-I$106)/I$107</f>
        <v>1.747728542256225</v>
      </c>
      <c r="J364" s="17">
        <f>('Q1'!AE255-J$106)/J$107</f>
        <v>1.5621612194802301</v>
      </c>
      <c r="K364" s="17">
        <f>('Q1'!AF255-K$106)/K$107</f>
        <v>1.2842858520138818</v>
      </c>
      <c r="L364" s="17">
        <f>('Q1'!AG255-L$106)/L$107</f>
        <v>0.38790153704858821</v>
      </c>
      <c r="M364" s="17">
        <f>('Q1'!AH255-M$106)/M$107</f>
        <v>-0.1733346961368582</v>
      </c>
      <c r="N364" s="17">
        <f>('Q1'!AI255-N$106)/N$107</f>
        <v>0.89006896056331686</v>
      </c>
      <c r="O364" s="17">
        <f>('Q1'!AJ255-O$106)/O$107</f>
        <v>1.0195424731002136</v>
      </c>
      <c r="P364" s="17">
        <f>('Q1'!AK255-P$106)/P$107</f>
        <v>-0.15311997325931673</v>
      </c>
      <c r="Q364" s="17">
        <f>('Q1'!AL255-Q$106)/Q$107</f>
        <v>-0.16754966495446946</v>
      </c>
      <c r="R364" s="17">
        <f>('Q1'!AM255-R$106)/R$107</f>
        <v>6.1559145374097485E-2</v>
      </c>
      <c r="S364" s="17">
        <f>('Q1'!AN255-S$106)/S$107</f>
        <v>1.7876196306398358</v>
      </c>
    </row>
    <row r="365" spans="2:19">
      <c r="B365" s="17">
        <f>('Q1'!W256-B$106)/B$107</f>
        <v>-0.5960814753271626</v>
      </c>
      <c r="C365" s="17">
        <f>('Q1'!X256-C$106)/C$107</f>
        <v>0.3851209820149144</v>
      </c>
      <c r="D365" s="17">
        <f>('Q1'!Y256-D$106)/D$107</f>
        <v>-5.8983042673087845E-3</v>
      </c>
      <c r="E365" s="17">
        <f>('Q1'!Z256-E$106)/E$107</f>
        <v>-0.20254055016974823</v>
      </c>
      <c r="F365" s="17">
        <f>('Q1'!AA256-F$106)/F$107</f>
        <v>0.66199785907186337</v>
      </c>
      <c r="G365" s="17">
        <f>('Q1'!AB256-G$106)/G$107</f>
        <v>0.1134612236543774</v>
      </c>
      <c r="H365" s="17">
        <f>('Q1'!AC256-H$106)/H$107</f>
        <v>-0.25897152977322335</v>
      </c>
      <c r="I365" s="17">
        <f>('Q1'!AD256-I$106)/I$107</f>
        <v>-0.44119052664616654</v>
      </c>
      <c r="J365" s="17">
        <f>('Q1'!AE256-J$106)/J$107</f>
        <v>0.34809371876776163</v>
      </c>
      <c r="K365" s="17">
        <f>('Q1'!AF256-K$106)/K$107</f>
        <v>1.0360915740848653</v>
      </c>
      <c r="L365" s="17">
        <f>('Q1'!AG256-L$106)/L$107</f>
        <v>0.85098543572701546</v>
      </c>
      <c r="M365" s="17">
        <f>('Q1'!AH256-M$106)/M$107</f>
        <v>-1.0912467208861492</v>
      </c>
      <c r="N365" s="17">
        <f>('Q1'!AI256-N$106)/N$107</f>
        <v>1.7275864520333062</v>
      </c>
      <c r="O365" s="17">
        <f>('Q1'!AJ256-O$106)/O$107</f>
        <v>0.64032296654327758</v>
      </c>
      <c r="P365" s="17">
        <f>('Q1'!AK256-P$106)/P$107</f>
        <v>0.4561380310651344</v>
      </c>
      <c r="Q365" s="17">
        <f>('Q1'!AL256-Q$106)/Q$107</f>
        <v>0.77297380445194053</v>
      </c>
      <c r="R365" s="17">
        <f>('Q1'!AM256-R$106)/R$107</f>
        <v>0.71846358553623113</v>
      </c>
      <c r="S365" s="17">
        <f>('Q1'!AN256-S$106)/S$107</f>
        <v>0.80363701929441522</v>
      </c>
    </row>
    <row r="366" spans="2:19">
      <c r="B366" s="17">
        <f>('Q1'!W257-B$106)/B$107</f>
        <v>0.79906184001056202</v>
      </c>
      <c r="C366" s="17">
        <f>('Q1'!X257-C$106)/C$107</f>
        <v>0.32291657122198997</v>
      </c>
      <c r="D366" s="17">
        <f>('Q1'!Y257-D$106)/D$107</f>
        <v>0.744844840588896</v>
      </c>
      <c r="E366" s="17">
        <f>('Q1'!Z257-E$106)/E$107</f>
        <v>0.94266632041616694</v>
      </c>
      <c r="F366" s="17">
        <f>('Q1'!AA257-F$106)/F$107</f>
        <v>1.5812474234997165</v>
      </c>
      <c r="G366" s="17">
        <f>('Q1'!AB257-G$106)/G$107</f>
        <v>0.7252332031177704</v>
      </c>
      <c r="H366" s="17">
        <f>('Q1'!AC257-H$106)/H$107</f>
        <v>-0.50148179803459081</v>
      </c>
      <c r="I366" s="17">
        <f>('Q1'!AD257-I$106)/I$107</f>
        <v>0.18937734969483894</v>
      </c>
      <c r="J366" s="17">
        <f>('Q1'!AE257-J$106)/J$107</f>
        <v>0.45493041165988546</v>
      </c>
      <c r="K366" s="17">
        <f>('Q1'!AF257-K$106)/K$107</f>
        <v>-3.347543606197724E-2</v>
      </c>
      <c r="L366" s="17">
        <f>('Q1'!AG257-L$106)/L$107</f>
        <v>0.37152760744347968</v>
      </c>
      <c r="M366" s="17">
        <f>('Q1'!AH257-M$106)/M$107</f>
        <v>-0.62115133094766872</v>
      </c>
      <c r="N366" s="17">
        <f>('Q1'!AI257-N$106)/N$107</f>
        <v>0.32911410916886008</v>
      </c>
      <c r="O366" s="17">
        <f>('Q1'!AJ257-O$106)/O$107</f>
        <v>0.70526162370785428</v>
      </c>
      <c r="P366" s="17">
        <f>('Q1'!AK257-P$106)/P$107</f>
        <v>-0.70432007283657649</v>
      </c>
      <c r="Q366" s="17">
        <f>('Q1'!AL257-Q$106)/Q$107</f>
        <v>-0.72144504025151557</v>
      </c>
      <c r="R366" s="17">
        <f>('Q1'!AM257-R$106)/R$107</f>
        <v>-0.27312871214255102</v>
      </c>
      <c r="S366" s="17">
        <f>('Q1'!AN257-S$106)/S$107</f>
        <v>8.6623077709052795E-2</v>
      </c>
    </row>
    <row r="367" spans="2:19">
      <c r="B367" s="17">
        <f>('Q1'!W258-B$106)/B$107</f>
        <v>-0.787942252143915</v>
      </c>
      <c r="C367" s="17">
        <f>('Q1'!X258-C$106)/C$107</f>
        <v>-0.34051870230960213</v>
      </c>
      <c r="D367" s="17">
        <f>('Q1'!Y258-D$106)/D$107</f>
        <v>-0.75226957041252651</v>
      </c>
      <c r="E367" s="17">
        <f>('Q1'!Z258-E$106)/E$107</f>
        <v>-0.89306998809153382</v>
      </c>
      <c r="F367" s="17">
        <f>('Q1'!AA258-F$106)/F$107</f>
        <v>-0.50161390389100413</v>
      </c>
      <c r="G367" s="17">
        <f>('Q1'!AB258-G$106)/G$107</f>
        <v>0.21570573556510944</v>
      </c>
      <c r="H367" s="17">
        <f>('Q1'!AC258-H$106)/H$107</f>
        <v>-0.46428978489673273</v>
      </c>
      <c r="I367" s="17">
        <f>('Q1'!AD258-I$106)/I$107</f>
        <v>-0.13728912058073336</v>
      </c>
      <c r="J367" s="17">
        <f>('Q1'!AE258-J$106)/J$107</f>
        <v>-0.76448300207221209</v>
      </c>
      <c r="K367" s="17">
        <f>('Q1'!AF258-K$106)/K$107</f>
        <v>0.28041631912902532</v>
      </c>
      <c r="L367" s="17">
        <f>('Q1'!AG258-L$106)/L$107</f>
        <v>0.23446865992742658</v>
      </c>
      <c r="M367" s="17">
        <f>('Q1'!AH258-M$106)/M$107</f>
        <v>0.10347393712660134</v>
      </c>
      <c r="N367" s="17">
        <f>('Q1'!AI258-N$106)/N$107</f>
        <v>-0.4613711037916976</v>
      </c>
      <c r="O367" s="17">
        <f>('Q1'!AJ258-O$106)/O$107</f>
        <v>-0.57149155013192166</v>
      </c>
      <c r="P367" s="17">
        <f>('Q1'!AK258-P$106)/P$107</f>
        <v>0.68003168142762893</v>
      </c>
      <c r="Q367" s="17">
        <f>('Q1'!AL258-Q$106)/Q$107</f>
        <v>0.35617452192893878</v>
      </c>
      <c r="R367" s="17">
        <f>('Q1'!AM258-R$106)/R$107</f>
        <v>0.94159338105434298</v>
      </c>
      <c r="S367" s="17">
        <f>('Q1'!AN258-S$106)/S$107</f>
        <v>0.33843222095037429</v>
      </c>
    </row>
    <row r="368" spans="2:19">
      <c r="B368" s="17">
        <f>('Q1'!W259-B$106)/B$107</f>
        <v>5.2239137814538129E-2</v>
      </c>
      <c r="C368" s="17">
        <f>('Q1'!X259-C$106)/C$107</f>
        <v>-0.6876304243840391</v>
      </c>
      <c r="D368" s="17">
        <f>('Q1'!Y259-D$106)/D$107</f>
        <v>-0.41298694511040573</v>
      </c>
      <c r="E368" s="17">
        <f>('Q1'!Z259-E$106)/E$107</f>
        <v>-0.40429816645787392</v>
      </c>
      <c r="F368" s="17">
        <f>('Q1'!AA259-F$106)/F$107</f>
        <v>-0.56493707835281359</v>
      </c>
      <c r="G368" s="17">
        <f>('Q1'!AB259-G$106)/G$107</f>
        <v>-0.88061292190266793</v>
      </c>
      <c r="H368" s="17">
        <f>('Q1'!AC259-H$106)/H$107</f>
        <v>0.15701222065732648</v>
      </c>
      <c r="I368" s="17">
        <f>('Q1'!AD259-I$106)/I$107</f>
        <v>0.91625140540789674</v>
      </c>
      <c r="J368" s="17">
        <f>('Q1'!AE259-J$106)/J$107</f>
        <v>-0.5405424325713063</v>
      </c>
      <c r="K368" s="17">
        <f>('Q1'!AF259-K$106)/K$107</f>
        <v>1.4725369649822528</v>
      </c>
      <c r="L368" s="17">
        <f>('Q1'!AG259-L$106)/L$107</f>
        <v>0.23698784764794922</v>
      </c>
      <c r="M368" s="17">
        <f>('Q1'!AH259-M$106)/M$107</f>
        <v>-1.3705268462830135E-2</v>
      </c>
      <c r="N368" s="17">
        <f>('Q1'!AI259-N$106)/N$107</f>
        <v>5.5202828179396111E-2</v>
      </c>
      <c r="O368" s="17">
        <f>('Q1'!AJ259-O$106)/O$107</f>
        <v>-0.90784198684123729</v>
      </c>
      <c r="P368" s="17">
        <f>('Q1'!AK259-P$106)/P$107</f>
        <v>0.35453319590221083</v>
      </c>
      <c r="Q368" s="17">
        <f>('Q1'!AL259-Q$106)/Q$107</f>
        <v>-0.42630354191106495</v>
      </c>
      <c r="R368" s="17">
        <f>('Q1'!AM259-R$106)/R$107</f>
        <v>0.49542314171896334</v>
      </c>
      <c r="S368" s="17">
        <f>('Q1'!AN259-S$106)/S$107</f>
        <v>-0.62956635529229321</v>
      </c>
    </row>
    <row r="369" spans="2:19">
      <c r="B369" s="17">
        <f>('Q1'!W260-B$106)/B$107</f>
        <v>0.31870068230784793</v>
      </c>
      <c r="C369" s="17">
        <f>('Q1'!X260-C$106)/C$107</f>
        <v>0.7076388703755413</v>
      </c>
      <c r="D369" s="17">
        <f>('Q1'!Y260-D$106)/D$107</f>
        <v>0.57755296870347228</v>
      </c>
      <c r="E369" s="17">
        <f>('Q1'!Z260-E$106)/E$107</f>
        <v>0.58906544336011502</v>
      </c>
      <c r="F369" s="17">
        <f>('Q1'!AA260-F$106)/F$107</f>
        <v>-7.4760869521258752E-2</v>
      </c>
      <c r="G369" s="17">
        <f>('Q1'!AB260-G$106)/G$107</f>
        <v>2.3982816861576595</v>
      </c>
      <c r="H369" s="17">
        <f>('Q1'!AC260-H$106)/H$107</f>
        <v>0.37174848415457817</v>
      </c>
      <c r="I369" s="17">
        <f>('Q1'!AD260-I$106)/I$107</f>
        <v>-2.856043310906903E-3</v>
      </c>
      <c r="J369" s="17">
        <f>('Q1'!AE260-J$106)/J$107</f>
        <v>-0.34659866424277275</v>
      </c>
      <c r="K369" s="17">
        <f>('Q1'!AF260-K$106)/K$107</f>
        <v>1.3517406943330759</v>
      </c>
      <c r="L369" s="17">
        <f>('Q1'!AG260-L$106)/L$107</f>
        <v>-0.38752058177229615</v>
      </c>
      <c r="M369" s="17">
        <f>('Q1'!AH260-M$106)/M$107</f>
        <v>1.5449822700036455</v>
      </c>
      <c r="N369" s="17">
        <f>('Q1'!AI260-N$106)/N$107</f>
        <v>-0.18082234529794913</v>
      </c>
      <c r="O369" s="17">
        <f>('Q1'!AJ260-O$106)/O$107</f>
        <v>-0.35648657211614804</v>
      </c>
      <c r="P369" s="17">
        <f>('Q1'!AK260-P$106)/P$107</f>
        <v>0.13702424864742752</v>
      </c>
      <c r="Q369" s="17">
        <f>('Q1'!AL260-Q$106)/Q$107</f>
        <v>0.16601638620582032</v>
      </c>
      <c r="R369" s="17">
        <f>('Q1'!AM260-R$106)/R$107</f>
        <v>0.59327247292136498</v>
      </c>
      <c r="S369" s="17">
        <f>('Q1'!AN260-S$106)/S$107</f>
        <v>-0.15678202175343239</v>
      </c>
    </row>
    <row r="370" spans="2:19">
      <c r="B370" s="17">
        <f>('Q1'!W261-B$106)/B$107</f>
        <v>7.7327575535909715E-2</v>
      </c>
      <c r="C370" s="17">
        <f>('Q1'!X261-C$106)/C$107</f>
        <v>5.9148569591851927E-2</v>
      </c>
      <c r="D370" s="17">
        <f>('Q1'!Y261-D$106)/D$107</f>
        <v>0.14730530311262488</v>
      </c>
      <c r="E370" s="17">
        <f>('Q1'!Z261-E$106)/E$107</f>
        <v>-0.23090336959577429</v>
      </c>
      <c r="F370" s="17">
        <f>('Q1'!AA261-F$106)/F$107</f>
        <v>-0.13925765190203485</v>
      </c>
      <c r="G370" s="17">
        <f>('Q1'!AB261-G$106)/G$107</f>
        <v>-1.2591013192267276E-3</v>
      </c>
      <c r="H370" s="17">
        <f>('Q1'!AC261-H$106)/H$107</f>
        <v>-1.5644727849011051</v>
      </c>
      <c r="I370" s="17">
        <f>('Q1'!AD261-I$106)/I$107</f>
        <v>-0.50710485896615121</v>
      </c>
      <c r="J370" s="17">
        <f>('Q1'!AE261-J$106)/J$107</f>
        <v>-1.2198073933585367</v>
      </c>
      <c r="K370" s="17">
        <f>('Q1'!AF261-K$106)/K$107</f>
        <v>-1.1652538483966421</v>
      </c>
      <c r="L370" s="17">
        <f>('Q1'!AG261-L$106)/L$107</f>
        <v>-1.3724896271167715E-2</v>
      </c>
      <c r="M370" s="17">
        <f>('Q1'!AH261-M$106)/M$107</f>
        <v>-0.36242097760551989</v>
      </c>
      <c r="N370" s="17">
        <f>('Q1'!AI261-N$106)/N$107</f>
        <v>0.12277776695470595</v>
      </c>
      <c r="O370" s="17">
        <f>('Q1'!AJ261-O$106)/O$107</f>
        <v>0.11800377134229639</v>
      </c>
      <c r="P370" s="17">
        <f>('Q1'!AK261-P$106)/P$107</f>
        <v>-0.83574381346500304</v>
      </c>
      <c r="Q370" s="17">
        <f>('Q1'!AL261-Q$106)/Q$107</f>
        <v>-0.58890062701578449</v>
      </c>
      <c r="R370" s="17">
        <f>('Q1'!AM261-R$106)/R$107</f>
        <v>-0.95174190277542992</v>
      </c>
      <c r="S370" s="17">
        <f>('Q1'!AN261-S$106)/S$107</f>
        <v>-7.6864274701039265E-2</v>
      </c>
    </row>
    <row r="371" spans="2:19">
      <c r="B371" s="17">
        <f>('Q1'!W262-B$106)/B$107</f>
        <v>0.62484034373681241</v>
      </c>
      <c r="C371" s="17">
        <f>('Q1'!X262-C$106)/C$107</f>
        <v>1.0966437145350867</v>
      </c>
      <c r="D371" s="17">
        <f>('Q1'!Y262-D$106)/D$107</f>
        <v>0.31806933818009431</v>
      </c>
      <c r="E371" s="17">
        <f>('Q1'!Z262-E$106)/E$107</f>
        <v>-0.14908378734860661</v>
      </c>
      <c r="F371" s="17">
        <f>('Q1'!AA262-F$106)/F$107</f>
        <v>1.0801302944414808</v>
      </c>
      <c r="G371" s="17">
        <f>('Q1'!AB262-G$106)/G$107</f>
        <v>1.3264898978322077</v>
      </c>
      <c r="H371" s="17">
        <f>('Q1'!AC262-H$106)/H$107</f>
        <v>0.11839733908296401</v>
      </c>
      <c r="I371" s="17">
        <f>('Q1'!AD262-I$106)/I$107</f>
        <v>0.30030221193566969</v>
      </c>
      <c r="J371" s="17">
        <f>('Q1'!AE262-J$106)/J$107</f>
        <v>0.228962503039532</v>
      </c>
      <c r="K371" s="17">
        <f>('Q1'!AF262-K$106)/K$107</f>
        <v>0.21279130273522279</v>
      </c>
      <c r="L371" s="17">
        <f>('Q1'!AG262-L$106)/L$107</f>
        <v>0.29496831613104041</v>
      </c>
      <c r="M371" s="17">
        <f>('Q1'!AH262-M$106)/M$107</f>
        <v>1.0089688508573886</v>
      </c>
      <c r="N371" s="17">
        <f>('Q1'!AI262-N$106)/N$107</f>
        <v>1.1161797286891857</v>
      </c>
      <c r="O371" s="17">
        <f>('Q1'!AJ262-O$106)/O$107</f>
        <v>1.2535440317723385</v>
      </c>
      <c r="P371" s="17">
        <f>('Q1'!AK262-P$106)/P$107</f>
        <v>0.29733777120398119</v>
      </c>
      <c r="Q371" s="17">
        <f>('Q1'!AL262-Q$106)/Q$107</f>
        <v>3.7541121224336074E-2</v>
      </c>
      <c r="R371" s="17">
        <f>('Q1'!AM262-R$106)/R$107</f>
        <v>2.0489306731154944</v>
      </c>
      <c r="S371" s="17">
        <f>('Q1'!AN262-S$106)/S$107</f>
        <v>-1.4795478620801175</v>
      </c>
    </row>
    <row r="372" spans="2:19">
      <c r="B372" s="17">
        <f>('Q1'!W263-B$106)/B$107</f>
        <v>-1.0125672169643496</v>
      </c>
      <c r="C372" s="17">
        <f>('Q1'!X263-C$106)/C$107</f>
        <v>-0.72007743543141212</v>
      </c>
      <c r="D372" s="17">
        <f>('Q1'!Y263-D$106)/D$107</f>
        <v>-0.82880446436901878</v>
      </c>
      <c r="E372" s="17">
        <f>('Q1'!Z263-E$106)/E$107</f>
        <v>-0.64513377900202096</v>
      </c>
      <c r="F372" s="17">
        <f>('Q1'!AA263-F$106)/F$107</f>
        <v>-0.64495770533485219</v>
      </c>
      <c r="G372" s="17">
        <f>('Q1'!AB263-G$106)/G$107</f>
        <v>0.52369209673733941</v>
      </c>
      <c r="H372" s="17">
        <f>('Q1'!AC263-H$106)/H$107</f>
        <v>-6.6711656467546329E-2</v>
      </c>
      <c r="I372" s="17">
        <f>('Q1'!AD263-I$106)/I$107</f>
        <v>0.1933786795383714</v>
      </c>
      <c r="J372" s="17">
        <f>('Q1'!AE263-J$106)/J$107</f>
        <v>-0.44688832508213561</v>
      </c>
      <c r="K372" s="17">
        <f>('Q1'!AF263-K$106)/K$107</f>
        <v>3.7064611786483366</v>
      </c>
      <c r="L372" s="17">
        <f>('Q1'!AG263-L$106)/L$107</f>
        <v>-1.4646606968019322</v>
      </c>
      <c r="M372" s="17">
        <f>('Q1'!AH263-M$106)/M$107</f>
        <v>-1.3478924750371664</v>
      </c>
      <c r="N372" s="17">
        <f>('Q1'!AI263-N$106)/N$107</f>
        <v>-0.91440281561593295</v>
      </c>
      <c r="O372" s="17">
        <f>('Q1'!AJ263-O$106)/O$107</f>
        <v>-0.11022448004932409</v>
      </c>
      <c r="P372" s="17">
        <f>('Q1'!AK263-P$106)/P$107</f>
        <v>0.70259138530446696</v>
      </c>
      <c r="Q372" s="17">
        <f>('Q1'!AL263-Q$106)/Q$107</f>
        <v>0.1416964030201133</v>
      </c>
      <c r="R372" s="17">
        <f>('Q1'!AM263-R$106)/R$107</f>
        <v>-0.18823542475081617</v>
      </c>
      <c r="S372" s="17">
        <f>('Q1'!AN263-S$106)/S$107</f>
        <v>-0.38605637405100379</v>
      </c>
    </row>
    <row r="373" spans="2:19">
      <c r="B373" s="17">
        <f>('Q1'!W264-B$106)/B$107</f>
        <v>0.30612963498132756</v>
      </c>
      <c r="C373" s="17">
        <f>('Q1'!X264-C$106)/C$107</f>
        <v>-8.862176676273352E-2</v>
      </c>
      <c r="D373" s="17">
        <f>('Q1'!Y264-D$106)/D$107</f>
        <v>-0.16378563199547821</v>
      </c>
      <c r="E373" s="17">
        <f>('Q1'!Z264-E$106)/E$107</f>
        <v>-0.47064472464696777</v>
      </c>
      <c r="F373" s="17">
        <f>('Q1'!AA264-F$106)/F$107</f>
        <v>0.32850414112275811</v>
      </c>
      <c r="G373" s="17">
        <f>('Q1'!AB264-G$106)/G$107</f>
        <v>-0.70925555092979298</v>
      </c>
      <c r="H373" s="17">
        <f>('Q1'!AC264-H$106)/H$107</f>
        <v>-0.27486936805127449</v>
      </c>
      <c r="I373" s="17">
        <f>('Q1'!AD264-I$106)/I$107</f>
        <v>2.4384686720672941</v>
      </c>
      <c r="J373" s="17">
        <f>('Q1'!AE264-J$106)/J$107</f>
        <v>0.87471097379394291</v>
      </c>
      <c r="K373" s="17">
        <f>('Q1'!AF264-K$106)/K$107</f>
        <v>1.7278915396059462</v>
      </c>
      <c r="L373" s="17">
        <f>('Q1'!AG264-L$106)/L$107</f>
        <v>0.70390215267745015</v>
      </c>
      <c r="M373" s="17">
        <f>('Q1'!AH264-M$106)/M$107</f>
        <v>0.10142113252209604</v>
      </c>
      <c r="N373" s="17">
        <f>('Q1'!AI264-N$106)/N$107</f>
        <v>-2.0618047158586023E-2</v>
      </c>
      <c r="O373" s="17">
        <f>('Q1'!AJ264-O$106)/O$107</f>
        <v>0.7842841910145264</v>
      </c>
      <c r="P373" s="17">
        <f>('Q1'!AK264-P$106)/P$107</f>
        <v>0.45232880257661434</v>
      </c>
      <c r="Q373" s="17">
        <f>('Q1'!AL264-Q$106)/Q$107</f>
        <v>-0.55554479456458228</v>
      </c>
      <c r="R373" s="17">
        <f>('Q1'!AM264-R$106)/R$107</f>
        <v>8.9853228450905778E-2</v>
      </c>
      <c r="S373" s="17">
        <f>('Q1'!AN264-S$106)/S$107</f>
        <v>2.0821352423286759</v>
      </c>
    </row>
    <row r="374" spans="2:19">
      <c r="B374" s="17">
        <f>('Q1'!W265-B$106)/B$107</f>
        <v>0.36125612387723061</v>
      </c>
      <c r="C374" s="17">
        <f>('Q1'!X265-C$106)/C$107</f>
        <v>0.28838018348403899</v>
      </c>
      <c r="D374" s="17">
        <f>('Q1'!Y265-D$106)/D$107</f>
        <v>-0.85360432038472434</v>
      </c>
      <c r="E374" s="17">
        <f>('Q1'!Z265-E$106)/E$107</f>
        <v>0.64869773548102405</v>
      </c>
      <c r="F374" s="17">
        <f>('Q1'!AA265-F$106)/F$107</f>
        <v>0.55008827983859265</v>
      </c>
      <c r="G374" s="17">
        <f>('Q1'!AB265-G$106)/G$107</f>
        <v>-0.20105744216090005</v>
      </c>
      <c r="H374" s="17">
        <f>('Q1'!AC265-H$106)/H$107</f>
        <v>1.0484364231186123</v>
      </c>
      <c r="I374" s="17">
        <f>('Q1'!AD265-I$106)/I$107</f>
        <v>-0.52570792236535568</v>
      </c>
      <c r="J374" s="17">
        <f>('Q1'!AE265-J$106)/J$107</f>
        <v>-0.99644822403682853</v>
      </c>
      <c r="K374" s="17">
        <f>('Q1'!AF265-K$106)/K$107</f>
        <v>-1.8474670238714752</v>
      </c>
      <c r="L374" s="17">
        <f>('Q1'!AG265-L$106)/L$107</f>
        <v>0.98047000786386451</v>
      </c>
      <c r="M374" s="17">
        <f>('Q1'!AH265-M$106)/M$107</f>
        <v>-1.7713805604311088</v>
      </c>
      <c r="N374" s="17">
        <f>('Q1'!AI265-N$106)/N$107</f>
        <v>1.3446814627908401</v>
      </c>
      <c r="O374" s="17">
        <f>('Q1'!AJ265-O$106)/O$107</f>
        <v>0.48505829372776255</v>
      </c>
      <c r="P374" s="17">
        <f>('Q1'!AK265-P$106)/P$107</f>
        <v>-0.37519436582820798</v>
      </c>
      <c r="Q374" s="17">
        <f>('Q1'!AL265-Q$106)/Q$107</f>
        <v>-0.97445667561470273</v>
      </c>
      <c r="R374" s="17">
        <f>('Q1'!AM265-R$106)/R$107</f>
        <v>-1.0890947954669739</v>
      </c>
      <c r="S374" s="17">
        <f>('Q1'!AN265-S$106)/S$107</f>
        <v>-0.10499348114043199</v>
      </c>
    </row>
    <row r="375" spans="2:19">
      <c r="B375" s="17">
        <f>('Q1'!W266-B$106)/B$107</f>
        <v>-0.81261429066522883</v>
      </c>
      <c r="C375" s="17">
        <f>('Q1'!X266-C$106)/C$107</f>
        <v>-0.4734755209494696</v>
      </c>
      <c r="D375" s="17">
        <f>('Q1'!Y266-D$106)/D$107</f>
        <v>-0.59992788932981045</v>
      </c>
      <c r="E375" s="17">
        <f>('Q1'!Z266-E$106)/E$107</f>
        <v>-0.80129287503919466</v>
      </c>
      <c r="F375" s="17">
        <f>('Q1'!AA266-F$106)/F$107</f>
        <v>5.3916968335162768E-2</v>
      </c>
      <c r="G375" s="17">
        <f>('Q1'!AB266-G$106)/G$107</f>
        <v>2.3081044755847629E-2</v>
      </c>
      <c r="H375" s="17">
        <f>('Q1'!AC266-H$106)/H$107</f>
        <v>-0.71111738809908398</v>
      </c>
      <c r="I375" s="17">
        <f>('Q1'!AD266-I$106)/I$107</f>
        <v>-0.60525070346075183</v>
      </c>
      <c r="J375" s="17">
        <f>('Q1'!AE266-J$106)/J$107</f>
        <v>-0.92964830119358743</v>
      </c>
      <c r="K375" s="17">
        <f>('Q1'!AF266-K$106)/K$107</f>
        <v>-1.7590593131705163</v>
      </c>
      <c r="L375" s="17">
        <f>('Q1'!AG266-L$106)/L$107</f>
        <v>0.81895732884174055</v>
      </c>
      <c r="M375" s="17">
        <f>('Q1'!AH266-M$106)/M$107</f>
        <v>0.93475670522738097</v>
      </c>
      <c r="N375" s="17">
        <f>('Q1'!AI266-N$106)/N$107</f>
        <v>-0.21420193463215564</v>
      </c>
      <c r="O375" s="17">
        <f>('Q1'!AJ266-O$106)/O$107</f>
        <v>9.7597334759114182E-2</v>
      </c>
      <c r="P375" s="17">
        <f>('Q1'!AK266-P$106)/P$107</f>
        <v>-0.73291698183046805</v>
      </c>
      <c r="Q375" s="17">
        <f>('Q1'!AL266-Q$106)/Q$107</f>
        <v>3.8088901453340838E-2</v>
      </c>
      <c r="R375" s="17">
        <f>('Q1'!AM266-R$106)/R$107</f>
        <v>-0.63832927857047428</v>
      </c>
      <c r="S375" s="17">
        <f>('Q1'!AN266-S$106)/S$107</f>
        <v>-1.2467763257729119</v>
      </c>
    </row>
    <row r="376" spans="2:19">
      <c r="B376" s="17">
        <f>('Q1'!W267-B$106)/B$107</f>
        <v>-1.7241812414107944</v>
      </c>
      <c r="C376" s="17">
        <f>('Q1'!X267-C$106)/C$107</f>
        <v>-0.70328031029984728</v>
      </c>
      <c r="D376" s="17">
        <f>('Q1'!Y267-D$106)/D$107</f>
        <v>-0.58349183014804329</v>
      </c>
      <c r="E376" s="17">
        <f>('Q1'!Z267-E$106)/E$107</f>
        <v>-0.8088548010930412</v>
      </c>
      <c r="F376" s="17">
        <f>('Q1'!AA267-F$106)/F$107</f>
        <v>0.33787852548429564</v>
      </c>
      <c r="G376" s="17">
        <f>('Q1'!AB267-G$106)/G$107</f>
        <v>-0.54377816142648649</v>
      </c>
      <c r="H376" s="17">
        <f>('Q1'!AC267-H$106)/H$107</f>
        <v>1.6924235587273528</v>
      </c>
      <c r="I376" s="17">
        <f>('Q1'!AD267-I$106)/I$107</f>
        <v>-0.53924285885936318</v>
      </c>
      <c r="J376" s="17">
        <f>('Q1'!AE267-J$106)/J$107</f>
        <v>-1.7868081524901345</v>
      </c>
      <c r="K376" s="17">
        <f>('Q1'!AF267-K$106)/K$107</f>
        <v>1.6326596637239328</v>
      </c>
      <c r="L376" s="17">
        <f>('Q1'!AG267-L$106)/L$107</f>
        <v>-0.54824530871640875</v>
      </c>
      <c r="M376" s="17">
        <f>('Q1'!AH267-M$106)/M$107</f>
        <v>0.35250014637935645</v>
      </c>
      <c r="N376" s="17">
        <f>('Q1'!AI267-N$106)/N$107</f>
        <v>-1.177910498802607</v>
      </c>
      <c r="O376" s="17">
        <f>('Q1'!AJ267-O$106)/O$107</f>
        <v>-0.38553520874745739</v>
      </c>
      <c r="P376" s="17">
        <f>('Q1'!AK267-P$106)/P$107</f>
        <v>0.29881372757653701</v>
      </c>
      <c r="Q376" s="17">
        <f>('Q1'!AL267-Q$106)/Q$107</f>
        <v>0.30990551249366682</v>
      </c>
      <c r="R376" s="17">
        <f>('Q1'!AM267-R$106)/R$107</f>
        <v>0.2744364442088747</v>
      </c>
      <c r="S376" s="17">
        <f>('Q1'!AN267-S$106)/S$107</f>
        <v>0.93431217055061033</v>
      </c>
    </row>
    <row r="377" spans="2:19">
      <c r="B377" s="17">
        <f>('Q1'!W268-B$106)/B$107</f>
        <v>-0.35574967612071456</v>
      </c>
      <c r="C377" s="17">
        <f>('Q1'!X268-C$106)/C$107</f>
        <v>-1.2715391687910402</v>
      </c>
      <c r="D377" s="17">
        <f>('Q1'!Y268-D$106)/D$107</f>
        <v>-1.5939775134682794</v>
      </c>
      <c r="E377" s="17">
        <f>('Q1'!Z268-E$106)/E$107</f>
        <v>-0.85922236796040519</v>
      </c>
      <c r="F377" s="17">
        <f>('Q1'!AA268-F$106)/F$107</f>
        <v>-1.6042954979333872</v>
      </c>
      <c r="G377" s="17">
        <f>('Q1'!AB268-G$106)/G$107</f>
        <v>-8.3169714557498345E-2</v>
      </c>
      <c r="H377" s="17">
        <f>('Q1'!AC268-H$106)/H$107</f>
        <v>-1.2637697908612608</v>
      </c>
      <c r="I377" s="17">
        <f>('Q1'!AD268-I$106)/I$107</f>
        <v>0.84966342500528036</v>
      </c>
      <c r="J377" s="17">
        <f>('Q1'!AE268-J$106)/J$107</f>
        <v>-1.7330996698066827</v>
      </c>
      <c r="K377" s="17">
        <f>('Q1'!AF268-K$106)/K$107</f>
        <v>-0.92949538700933099</v>
      </c>
      <c r="L377" s="17">
        <f>('Q1'!AG268-L$106)/L$107</f>
        <v>-0.84715361455082316</v>
      </c>
      <c r="M377" s="17">
        <f>('Q1'!AH268-M$106)/M$107</f>
        <v>-1.6999534174852737</v>
      </c>
      <c r="N377" s="17">
        <f>('Q1'!AI268-N$106)/N$107</f>
        <v>-1.3195405913763887</v>
      </c>
      <c r="O377" s="17">
        <f>('Q1'!AJ268-O$106)/O$107</f>
        <v>-1.4793780755652026</v>
      </c>
      <c r="P377" s="17">
        <f>('Q1'!AK268-P$106)/P$107</f>
        <v>-1.1114696738988636</v>
      </c>
      <c r="Q377" s="17">
        <f>('Q1'!AL268-Q$106)/Q$107</f>
        <v>-2.0276031030589312</v>
      </c>
      <c r="R377" s="17">
        <f>('Q1'!AM268-R$106)/R$107</f>
        <v>-1.3948966307004955</v>
      </c>
      <c r="S377" s="17">
        <f>('Q1'!AN268-S$106)/S$107</f>
        <v>0.13853246655421997</v>
      </c>
    </row>
    <row r="378" spans="2:19">
      <c r="B378" s="17">
        <f>('Q1'!W269-B$106)/B$107</f>
        <v>1.2877201803262439</v>
      </c>
      <c r="C378" s="17">
        <f>('Q1'!X269-C$106)/C$107</f>
        <v>0.29311179753375638</v>
      </c>
      <c r="D378" s="17">
        <f>('Q1'!Y269-D$106)/D$107</f>
        <v>1.2389314529229649</v>
      </c>
      <c r="E378" s="17">
        <f>('Q1'!Z269-E$106)/E$107</f>
        <v>1.0005085774745304</v>
      </c>
      <c r="F378" s="17">
        <f>('Q1'!AA269-F$106)/F$107</f>
        <v>0.35219234705108737</v>
      </c>
      <c r="G378" s="17">
        <f>('Q1'!AB269-G$106)/G$107</f>
        <v>-0.24219042038287975</v>
      </c>
      <c r="H378" s="17">
        <f>('Q1'!AC269-H$106)/H$107</f>
        <v>-0.81876742637676247</v>
      </c>
      <c r="I378" s="17">
        <f>('Q1'!AD269-I$106)/I$107</f>
        <v>-1.6010149224755179</v>
      </c>
      <c r="J378" s="17">
        <f>('Q1'!AE269-J$106)/J$107</f>
        <v>-0.26333727940995416</v>
      </c>
      <c r="K378" s="17">
        <f>('Q1'!AF269-K$106)/K$107</f>
        <v>1.269237232403337</v>
      </c>
      <c r="L378" s="17">
        <f>('Q1'!AG269-L$106)/L$107</f>
        <v>-0.46191636357260746</v>
      </c>
      <c r="M378" s="17">
        <f>('Q1'!AH269-M$106)/M$107</f>
        <v>-1.0443495132221081</v>
      </c>
      <c r="N378" s="17">
        <f>('Q1'!AI269-N$106)/N$107</f>
        <v>0.47353941702005564</v>
      </c>
      <c r="O378" s="17">
        <f>('Q1'!AJ269-O$106)/O$107</f>
        <v>0.80235172162304336</v>
      </c>
      <c r="P378" s="17">
        <f>('Q1'!AK269-P$106)/P$107</f>
        <v>-0.73846561845348369</v>
      </c>
      <c r="Q378" s="17">
        <f>('Q1'!AL269-Q$106)/Q$107</f>
        <v>-0.42663219364879035</v>
      </c>
      <c r="R378" s="17">
        <f>('Q1'!AM269-R$106)/R$107</f>
        <v>-0.4033883898654127</v>
      </c>
      <c r="S378" s="17">
        <f>('Q1'!AN269-S$106)/S$107</f>
        <v>0.60152952925871195</v>
      </c>
    </row>
    <row r="379" spans="2:19">
      <c r="B379" s="17">
        <f>('Q1'!W270-B$106)/B$107</f>
        <v>-1.0875731749700106</v>
      </c>
      <c r="C379" s="17">
        <f>('Q1'!X270-C$106)/C$107</f>
        <v>-1.5704299213285844</v>
      </c>
      <c r="D379" s="17">
        <f>('Q1'!Y270-D$106)/D$107</f>
        <v>-1.8763222777159754</v>
      </c>
      <c r="E379" s="17">
        <f>('Q1'!Z270-E$106)/E$107</f>
        <v>-1.2177759178331846</v>
      </c>
      <c r="F379" s="17">
        <f>('Q1'!AA270-F$106)/F$107</f>
        <v>-1.8269177157840446</v>
      </c>
      <c r="G379" s="17">
        <f>('Q1'!AB270-G$106)/G$107</f>
        <v>-1.8320259995209782</v>
      </c>
      <c r="H379" s="17">
        <f>('Q1'!AC270-H$106)/H$107</f>
        <v>-2.1648511953684588</v>
      </c>
      <c r="I379" s="17">
        <f>('Q1'!AD270-I$106)/I$107</f>
        <v>-0.69352665538874658</v>
      </c>
      <c r="J379" s="17">
        <f>('Q1'!AE270-J$106)/J$107</f>
        <v>-1.4991954905189355</v>
      </c>
      <c r="K379" s="17">
        <f>('Q1'!AF270-K$106)/K$107</f>
        <v>-0.12451288815463847</v>
      </c>
      <c r="L379" s="17">
        <f>('Q1'!AG270-L$106)/L$107</f>
        <v>-2.1016634708793713</v>
      </c>
      <c r="M379" s="17">
        <f>('Q1'!AH270-M$106)/M$107</f>
        <v>-1.9690390283198418</v>
      </c>
      <c r="N379" s="17">
        <f>('Q1'!AI270-N$106)/N$107</f>
        <v>-1.800025424869891</v>
      </c>
      <c r="O379" s="17">
        <f>('Q1'!AJ270-O$106)/O$107</f>
        <v>-2.2082675008707708</v>
      </c>
      <c r="P379" s="17">
        <f>('Q1'!AK270-P$106)/P$107</f>
        <v>-0.9572806659561669</v>
      </c>
      <c r="Q379" s="17">
        <f>('Q1'!AL270-Q$106)/Q$107</f>
        <v>-1.081020650015045</v>
      </c>
      <c r="R379" s="17">
        <f>('Q1'!AM270-R$106)/R$107</f>
        <v>-0.81194278968852762</v>
      </c>
      <c r="S379" s="17">
        <f>('Q1'!AN270-S$106)/S$107</f>
        <v>0.31117069356739957</v>
      </c>
    </row>
    <row r="380" spans="2:19">
      <c r="B380" s="17">
        <f>('Q1'!W271-B$106)/B$107</f>
        <v>0.13831645524112707</v>
      </c>
      <c r="C380" s="17">
        <f>('Q1'!X271-C$106)/C$107</f>
        <v>0.74362238749117093</v>
      </c>
      <c r="D380" s="17">
        <f>('Q1'!Y271-D$106)/D$107</f>
        <v>0.15953933948078891</v>
      </c>
      <c r="E380" s="17">
        <f>('Q1'!Z271-E$106)/E$107</f>
        <v>1.0798297999587356</v>
      </c>
      <c r="F380" s="17">
        <f>('Q1'!AA271-F$106)/F$107</f>
        <v>0.50219135080494615</v>
      </c>
      <c r="G380" s="17">
        <f>('Q1'!AB271-G$106)/G$107</f>
        <v>-0.30325759684988118</v>
      </c>
      <c r="H380" s="17">
        <f>('Q1'!AC271-H$106)/H$107</f>
        <v>1.6458158116014665</v>
      </c>
      <c r="I380" s="17">
        <f>('Q1'!AD271-I$106)/I$107</f>
        <v>-0.81717910877061073</v>
      </c>
      <c r="J380" s="17">
        <f>('Q1'!AE271-J$106)/J$107</f>
        <v>-0.89342066415171006</v>
      </c>
      <c r="K380" s="17">
        <f>('Q1'!AF271-K$106)/K$107</f>
        <v>-0.67281394596360222</v>
      </c>
      <c r="L380" s="17">
        <f>('Q1'!AG271-L$106)/L$107</f>
        <v>1.1590449310628639</v>
      </c>
      <c r="M380" s="17">
        <f>('Q1'!AH271-M$106)/M$107</f>
        <v>1.3792722674565832</v>
      </c>
      <c r="N380" s="17">
        <f>('Q1'!AI271-N$106)/N$107</f>
        <v>1.328873781050715</v>
      </c>
      <c r="O380" s="17">
        <f>('Q1'!AJ271-O$106)/O$107</f>
        <v>-0.29122310774676313</v>
      </c>
      <c r="P380" s="17">
        <f>('Q1'!AK271-P$106)/P$107</f>
        <v>1.4727247811361452</v>
      </c>
      <c r="Q380" s="17">
        <f>('Q1'!AL271-Q$106)/Q$107</f>
        <v>1.9452625691569718</v>
      </c>
      <c r="R380" s="17">
        <f>('Q1'!AM271-R$106)/R$107</f>
        <v>1.0114592911290332</v>
      </c>
      <c r="S380" s="17">
        <f>('Q1'!AN271-S$106)/S$107</f>
        <v>-1.1196644148507899</v>
      </c>
    </row>
    <row r="381" spans="2:19">
      <c r="B381" s="17">
        <f>('Q1'!W272-B$106)/B$107</f>
        <v>-6.6785041509846974E-2</v>
      </c>
      <c r="C381" s="17">
        <f>('Q1'!X272-C$106)/C$107</f>
        <v>-0.14626932714190483</v>
      </c>
      <c r="D381" s="17">
        <f>('Q1'!Y272-D$106)/D$107</f>
        <v>-0.19190580645499539</v>
      </c>
      <c r="E381" s="17">
        <f>('Q1'!Z272-E$106)/E$107</f>
        <v>-0.45605036510208569</v>
      </c>
      <c r="F381" s="17">
        <f>('Q1'!AA272-F$106)/F$107</f>
        <v>-1.2210322049968112</v>
      </c>
      <c r="G381" s="17">
        <f>('Q1'!AB272-G$106)/G$107</f>
        <v>-0.22021952368398315</v>
      </c>
      <c r="H381" s="17">
        <f>('Q1'!AC272-H$106)/H$107</f>
        <v>0.60107098423999816</v>
      </c>
      <c r="I381" s="17">
        <f>('Q1'!AD272-I$106)/I$107</f>
        <v>-0.15953168913413793</v>
      </c>
      <c r="J381" s="17">
        <f>('Q1'!AE272-J$106)/J$107</f>
        <v>-1.2423625282157689</v>
      </c>
      <c r="K381" s="17">
        <f>('Q1'!AF272-K$106)/K$107</f>
        <v>-1.6802369633811132</v>
      </c>
      <c r="L381" s="17">
        <f>('Q1'!AG272-L$106)/L$107</f>
        <v>-0.26398384928380203</v>
      </c>
      <c r="M381" s="17">
        <f>('Q1'!AH272-M$106)/M$107</f>
        <v>-0.49247465332521251</v>
      </c>
      <c r="N381" s="17">
        <f>('Q1'!AI272-N$106)/N$107</f>
        <v>-0.16180648698564817</v>
      </c>
      <c r="O381" s="17">
        <f>('Q1'!AJ272-O$106)/O$107</f>
        <v>-0.13994951817534637</v>
      </c>
      <c r="P381" s="17">
        <f>('Q1'!AK272-P$106)/P$107</f>
        <v>-0.5274754134503381</v>
      </c>
      <c r="Q381" s="17">
        <f>('Q1'!AL272-Q$106)/Q$107</f>
        <v>-0.64438971106279919</v>
      </c>
      <c r="R381" s="17">
        <f>('Q1'!AM272-R$106)/R$107</f>
        <v>-1.0054815462731734</v>
      </c>
      <c r="S381" s="17">
        <f>('Q1'!AN272-S$106)/S$107</f>
        <v>-0.34435831738513817</v>
      </c>
    </row>
    <row r="382" spans="2:19">
      <c r="B382" s="17">
        <f>('Q1'!W273-B$106)/B$107</f>
        <v>-1.4436226710532758</v>
      </c>
      <c r="C382" s="17">
        <f>('Q1'!X273-C$106)/C$107</f>
        <v>-1.0115276867264826</v>
      </c>
      <c r="D382" s="17">
        <f>('Q1'!Y273-D$106)/D$107</f>
        <v>-1.0843486615174824</v>
      </c>
      <c r="E382" s="17">
        <f>('Q1'!Z273-E$106)/E$107</f>
        <v>-1.2809780993011297</v>
      </c>
      <c r="F382" s="17">
        <f>('Q1'!AA273-F$106)/F$107</f>
        <v>-0.87690779078655845</v>
      </c>
      <c r="G382" s="17">
        <f>('Q1'!AB273-G$106)/G$107</f>
        <v>-0.81736427410536361</v>
      </c>
      <c r="H382" s="17">
        <f>('Q1'!AC273-H$106)/H$107</f>
        <v>-1.2263777673386371</v>
      </c>
      <c r="I382" s="17">
        <f>('Q1'!AD273-I$106)/I$107</f>
        <v>-1.817557682518536</v>
      </c>
      <c r="J382" s="17">
        <f>('Q1'!AE273-J$106)/J$107</f>
        <v>-1.8519306706887366</v>
      </c>
      <c r="K382" s="17">
        <f>('Q1'!AF273-K$106)/K$107</f>
        <v>-0.60473900533366176</v>
      </c>
      <c r="L382" s="17">
        <f>('Q1'!AG273-L$106)/L$107</f>
        <v>-1.3649812305558731</v>
      </c>
      <c r="M382" s="17">
        <f>('Q1'!AH273-M$106)/M$107</f>
        <v>-0.63459836697121719</v>
      </c>
      <c r="N382" s="17">
        <f>('Q1'!AI273-N$106)/N$107</f>
        <v>-1.0041568415200466</v>
      </c>
      <c r="O382" s="17">
        <f>('Q1'!AJ273-O$106)/O$107</f>
        <v>-0.84031248312799878</v>
      </c>
      <c r="P382" s="17">
        <f>('Q1'!AK273-P$106)/P$107</f>
        <v>-1.316074327375703</v>
      </c>
      <c r="Q382" s="17">
        <f>('Q1'!AL273-Q$106)/Q$107</f>
        <v>-1.0197426999112515</v>
      </c>
      <c r="R382" s="17">
        <f>('Q1'!AM273-R$106)/R$107</f>
        <v>-1.488537569970863</v>
      </c>
      <c r="S382" s="17">
        <f>('Q1'!AN273-S$106)/S$107</f>
        <v>-0.9769627715305208</v>
      </c>
    </row>
    <row r="383" spans="2:19">
      <c r="B383" s="17">
        <f>('Q1'!W274-B$106)/B$107</f>
        <v>0.59979967030122072</v>
      </c>
      <c r="C383" s="17">
        <f>('Q1'!X274-C$106)/C$107</f>
        <v>1.7297985001645162</v>
      </c>
      <c r="D383" s="17">
        <f>('Q1'!Y274-D$106)/D$107</f>
        <v>2.282274988363139</v>
      </c>
      <c r="E383" s="17">
        <f>('Q1'!Z274-E$106)/E$107</f>
        <v>0.83966500258921917</v>
      </c>
      <c r="F383" s="17">
        <f>('Q1'!AA274-F$106)/F$107</f>
        <v>0.54973087231485795</v>
      </c>
      <c r="G383" s="17">
        <f>('Q1'!AB274-G$106)/G$107</f>
        <v>2.6002395010655857</v>
      </c>
      <c r="H383" s="17">
        <f>('Q1'!AC274-H$106)/H$107</f>
        <v>2.1228960689150576</v>
      </c>
      <c r="I383" s="17">
        <f>('Q1'!AD274-I$106)/I$107</f>
        <v>1.1641489859381267</v>
      </c>
      <c r="J383" s="17">
        <f>('Q1'!AE274-J$106)/J$107</f>
        <v>0.5107394999257201</v>
      </c>
      <c r="K383" s="17">
        <f>('Q1'!AF274-K$106)/K$107</f>
        <v>0.98587888475722918</v>
      </c>
      <c r="L383" s="17">
        <f>('Q1'!AG274-L$106)/L$107</f>
        <v>0.99398106092353855</v>
      </c>
      <c r="M383" s="17">
        <f>('Q1'!AH274-M$106)/M$107</f>
        <v>6.4434380357861615E-3</v>
      </c>
      <c r="N383" s="17">
        <f>('Q1'!AI274-N$106)/N$107</f>
        <v>1.6118634688951825</v>
      </c>
      <c r="O383" s="17">
        <f>('Q1'!AJ274-O$106)/O$107</f>
        <v>0.48042754965014289</v>
      </c>
      <c r="P383" s="17">
        <f>('Q1'!AK274-P$106)/P$107</f>
        <v>0.7575779298828812</v>
      </c>
      <c r="Q383" s="17">
        <f>('Q1'!AL274-Q$106)/Q$107</f>
        <v>-0.9011278817360977</v>
      </c>
      <c r="R383" s="17">
        <f>('Q1'!AM274-R$106)/R$107</f>
        <v>-0.19073415637339022</v>
      </c>
      <c r="S383" s="17">
        <f>('Q1'!AN274-S$106)/S$107</f>
        <v>2.1837665098183194</v>
      </c>
    </row>
    <row r="384" spans="2:19">
      <c r="B384" s="17">
        <f>('Q1'!W275-B$106)/B$107</f>
        <v>1.1543472017873815</v>
      </c>
      <c r="C384" s="17">
        <f>('Q1'!X275-C$106)/C$107</f>
        <v>0.3621291599748015</v>
      </c>
      <c r="D384" s="17">
        <f>('Q1'!Y275-D$106)/D$107</f>
        <v>1.1387455476541499</v>
      </c>
      <c r="E384" s="17">
        <f>('Q1'!Z275-E$106)/E$107</f>
        <v>0.45349915394869122</v>
      </c>
      <c r="F384" s="17">
        <f>('Q1'!AA275-F$106)/F$107</f>
        <v>0.88286499835555254</v>
      </c>
      <c r="G384" s="17">
        <f>('Q1'!AB275-G$106)/G$107</f>
        <v>0.91681383707429498</v>
      </c>
      <c r="H384" s="17">
        <f>('Q1'!AC275-H$106)/H$107</f>
        <v>1.2074943729768814</v>
      </c>
      <c r="I384" s="17">
        <f>('Q1'!AD275-I$106)/I$107</f>
        <v>2.1242679370824025</v>
      </c>
      <c r="J384" s="17">
        <f>('Q1'!AE275-J$106)/J$107</f>
        <v>0.36782995868914953</v>
      </c>
      <c r="K384" s="17">
        <f>('Q1'!AF275-K$106)/K$107</f>
        <v>1.2031713283887933</v>
      </c>
      <c r="L384" s="17">
        <f>('Q1'!AG275-L$106)/L$107</f>
        <v>0.60885752692161776</v>
      </c>
      <c r="M384" s="17">
        <f>('Q1'!AH275-M$106)/M$107</f>
        <v>2.6157866126827876</v>
      </c>
      <c r="N384" s="17">
        <f>('Q1'!AI275-N$106)/N$107</f>
        <v>0.39600649913439967</v>
      </c>
      <c r="O384" s="17">
        <f>('Q1'!AJ275-O$106)/O$107</f>
        <v>0.6317222535726924</v>
      </c>
      <c r="P384" s="17">
        <f>('Q1'!AK275-P$106)/P$107</f>
        <v>-0.54626398016914257</v>
      </c>
      <c r="Q384" s="17">
        <f>('Q1'!AL275-Q$106)/Q$107</f>
        <v>-0.62077441794824961</v>
      </c>
      <c r="R384" s="17">
        <f>('Q1'!AM275-R$106)/R$107</f>
        <v>1.0866420489739514</v>
      </c>
      <c r="S384" s="17">
        <f>('Q1'!AN275-S$106)/S$107</f>
        <v>0.97098729058749167</v>
      </c>
    </row>
    <row r="385" spans="2:19">
      <c r="B385" s="17">
        <f>('Q1'!W276-B$106)/B$107</f>
        <v>-0.22157953202193084</v>
      </c>
      <c r="C385" s="17">
        <f>('Q1'!X276-C$106)/C$107</f>
        <v>-1.224432374928714</v>
      </c>
      <c r="D385" s="17">
        <f>('Q1'!Y276-D$106)/D$107</f>
        <v>-0.47605322125156407</v>
      </c>
      <c r="E385" s="17">
        <f>('Q1'!Z276-E$106)/E$107</f>
        <v>-0.49568010718264383</v>
      </c>
      <c r="F385" s="17">
        <f>('Q1'!AA276-F$106)/F$107</f>
        <v>-1.2179709140433321</v>
      </c>
      <c r="G385" s="17">
        <f>('Q1'!AB276-G$106)/G$107</f>
        <v>-1.0202202248069945</v>
      </c>
      <c r="H385" s="17">
        <f>('Q1'!AC276-H$106)/H$107</f>
        <v>-0.51929958148152178</v>
      </c>
      <c r="I385" s="17">
        <f>('Q1'!AD276-I$106)/I$107</f>
        <v>0.16782790356085342</v>
      </c>
      <c r="J385" s="17">
        <f>('Q1'!AE276-J$106)/J$107</f>
        <v>-0.96653849546792314</v>
      </c>
      <c r="K385" s="17">
        <f>('Q1'!AF276-K$106)/K$107</f>
        <v>0.44298497258830866</v>
      </c>
      <c r="L385" s="17">
        <f>('Q1'!AG276-L$106)/L$107</f>
        <v>-0.81077838190381113</v>
      </c>
      <c r="M385" s="17">
        <f>('Q1'!AH276-M$106)/M$107</f>
        <v>-1.2047826106617396</v>
      </c>
      <c r="N385" s="17">
        <f>('Q1'!AI276-N$106)/N$107</f>
        <v>-1.7256081100917484</v>
      </c>
      <c r="O385" s="17">
        <f>('Q1'!AJ276-O$106)/O$107</f>
        <v>-0.58957622092464834</v>
      </c>
      <c r="P385" s="17">
        <f>('Q1'!AK276-P$106)/P$107</f>
        <v>-1.3256622246782661</v>
      </c>
      <c r="Q385" s="17">
        <f>('Q1'!AL276-Q$106)/Q$107</f>
        <v>-1.1860665044332039</v>
      </c>
      <c r="R385" s="17">
        <f>('Q1'!AM276-R$106)/R$107</f>
        <v>-0.86526828641279929</v>
      </c>
      <c r="S385" s="17">
        <f>('Q1'!AN276-S$106)/S$107</f>
        <v>-0.686656328515864</v>
      </c>
    </row>
    <row r="386" spans="2:19">
      <c r="B386" s="17">
        <f>('Q1'!W277-B$106)/B$107</f>
        <v>1.4898911418509195</v>
      </c>
      <c r="C386" s="17">
        <f>('Q1'!X277-C$106)/C$107</f>
        <v>0.6093403579464346</v>
      </c>
      <c r="D386" s="17">
        <f>('Q1'!Y277-D$106)/D$107</f>
        <v>0.38666722868013415</v>
      </c>
      <c r="E386" s="17">
        <f>('Q1'!Z277-E$106)/E$107</f>
        <v>1.3035242245086429</v>
      </c>
      <c r="F386" s="17">
        <f>('Q1'!AA277-F$106)/F$107</f>
        <v>1.403389818818088</v>
      </c>
      <c r="G386" s="17">
        <f>('Q1'!AB277-G$106)/G$107</f>
        <v>1.1171410671490982</v>
      </c>
      <c r="H386" s="17">
        <f>('Q1'!AC277-H$106)/H$107</f>
        <v>-0.31599096485434613</v>
      </c>
      <c r="I386" s="17">
        <f>('Q1'!AD277-I$106)/I$107</f>
        <v>-1.3415406622722525</v>
      </c>
      <c r="J386" s="17">
        <f>('Q1'!AE277-J$106)/J$107</f>
        <v>2.1172975543176644</v>
      </c>
      <c r="K386" s="17">
        <f>('Q1'!AF277-K$106)/K$107</f>
        <v>-2.3509356885846935</v>
      </c>
      <c r="L386" s="17">
        <f>('Q1'!AG277-L$106)/L$107</f>
        <v>1.9206851891705341</v>
      </c>
      <c r="M386" s="17">
        <f>('Q1'!AH277-M$106)/M$107</f>
        <v>0.66385888230238221</v>
      </c>
      <c r="N386" s="17">
        <f>('Q1'!AI277-N$106)/N$107</f>
        <v>1.5115585150492958</v>
      </c>
      <c r="O386" s="17">
        <f>('Q1'!AJ277-O$106)/O$107</f>
        <v>0.85396198551771429</v>
      </c>
      <c r="P386" s="17">
        <f>('Q1'!AK277-P$106)/P$107</f>
        <v>0.76634590446425122</v>
      </c>
      <c r="Q386" s="17">
        <f>('Q1'!AL277-Q$106)/Q$107</f>
        <v>1.610167758852068</v>
      </c>
      <c r="R386" s="17">
        <f>('Q1'!AM277-R$106)/R$107</f>
        <v>0.265971011273131</v>
      </c>
      <c r="S386" s="17">
        <f>('Q1'!AN277-S$106)/S$107</f>
        <v>-0.70346820072209915</v>
      </c>
    </row>
    <row r="387" spans="2:19">
      <c r="B387" s="17">
        <f>('Q1'!W278-B$106)/B$107</f>
        <v>-0.79171668236371828</v>
      </c>
      <c r="C387" s="17">
        <f>('Q1'!X278-C$106)/C$107</f>
        <v>-0.39388953121074466</v>
      </c>
      <c r="D387" s="17">
        <f>('Q1'!Y278-D$106)/D$107</f>
        <v>0.24632184049567982</v>
      </c>
      <c r="E387" s="17">
        <f>('Q1'!Z278-E$106)/E$107</f>
        <v>-0.27593725117840939</v>
      </c>
      <c r="F387" s="17">
        <f>('Q1'!AA278-F$106)/F$107</f>
        <v>-0.85554817880372469</v>
      </c>
      <c r="G387" s="17">
        <f>('Q1'!AB278-G$106)/G$107</f>
        <v>-1.1206272458559807</v>
      </c>
      <c r="H387" s="17">
        <f>('Q1'!AC278-H$106)/H$107</f>
        <v>-0.2851462006763143</v>
      </c>
      <c r="I387" s="17">
        <f>('Q1'!AD278-I$106)/I$107</f>
        <v>-0.69613835319042672</v>
      </c>
      <c r="J387" s="17">
        <f>('Q1'!AE278-J$106)/J$107</f>
        <v>-0.61001066671765058</v>
      </c>
      <c r="K387" s="17">
        <f>('Q1'!AF278-K$106)/K$107</f>
        <v>-1.2716778326278384</v>
      </c>
      <c r="L387" s="17">
        <f>('Q1'!AG278-L$106)/L$107</f>
        <v>-0.13994423154928376</v>
      </c>
      <c r="M387" s="17">
        <f>('Q1'!AH278-M$106)/M$107</f>
        <v>1.0104390950569477</v>
      </c>
      <c r="N387" s="17">
        <f>('Q1'!AI278-N$106)/N$107</f>
        <v>-0.14355634982777774</v>
      </c>
      <c r="O387" s="17">
        <f>('Q1'!AJ278-O$106)/O$107</f>
        <v>-0.56610537042580877</v>
      </c>
      <c r="P387" s="17">
        <f>('Q1'!AK278-P$106)/P$107</f>
        <v>-3.7566123270774729E-2</v>
      </c>
      <c r="Q387" s="17">
        <f>('Q1'!AL278-Q$106)/Q$107</f>
        <v>-0.84520420485642989</v>
      </c>
      <c r="R387" s="17">
        <f>('Q1'!AM278-R$106)/R$107</f>
        <v>-6.8483393166017065E-2</v>
      </c>
      <c r="S387" s="17">
        <f>('Q1'!AN278-S$106)/S$107</f>
        <v>-0.65592853555275354</v>
      </c>
    </row>
    <row r="388" spans="2:19">
      <c r="B388" s="17">
        <f>('Q1'!W279-B$106)/B$107</f>
        <v>-1.0887489625692006</v>
      </c>
      <c r="C388" s="17">
        <f>('Q1'!X279-C$106)/C$107</f>
        <v>-1.5976799469369165</v>
      </c>
      <c r="D388" s="17">
        <f>('Q1'!Y279-D$106)/D$107</f>
        <v>-1.1999144423673858</v>
      </c>
      <c r="E388" s="17">
        <f>('Q1'!Z279-E$106)/E$107</f>
        <v>-0.58988979191123991</v>
      </c>
      <c r="F388" s="17">
        <f>('Q1'!AA279-F$106)/F$107</f>
        <v>-1.0153321405813516</v>
      </c>
      <c r="G388" s="17">
        <f>('Q1'!AB279-G$106)/G$107</f>
        <v>-1.2064923849517948</v>
      </c>
      <c r="H388" s="17">
        <f>('Q1'!AC279-H$106)/H$107</f>
        <v>-0.36615162882970304</v>
      </c>
      <c r="I388" s="17">
        <f>('Q1'!AD279-I$106)/I$107</f>
        <v>1.4440758169812211</v>
      </c>
      <c r="J388" s="17">
        <f>('Q1'!AE279-J$106)/J$107</f>
        <v>-0.81517199958403719</v>
      </c>
      <c r="K388" s="17">
        <f>('Q1'!AF279-K$106)/K$107</f>
        <v>2.6004055822439715E-2</v>
      </c>
      <c r="L388" s="17">
        <f>('Q1'!AG279-L$106)/L$107</f>
        <v>-0.69456453346301217</v>
      </c>
      <c r="M388" s="17">
        <f>('Q1'!AH279-M$106)/M$107</f>
        <v>3.1993484611560971E-2</v>
      </c>
      <c r="N388" s="17">
        <f>('Q1'!AI279-N$106)/N$107</f>
        <v>-2.4770354699766637</v>
      </c>
      <c r="O388" s="17">
        <f>('Q1'!AJ279-O$106)/O$107</f>
        <v>-1.6188333466200775</v>
      </c>
      <c r="P388" s="17">
        <f>('Q1'!AK279-P$106)/P$107</f>
        <v>0.85528943743115771</v>
      </c>
      <c r="Q388" s="17">
        <f>('Q1'!AL279-Q$106)/Q$107</f>
        <v>0.58129716278326815</v>
      </c>
      <c r="R388" s="17">
        <f>('Q1'!AM279-R$106)/R$107</f>
        <v>1.8305203515012411</v>
      </c>
      <c r="S388" s="17">
        <f>('Q1'!AN279-S$106)/S$107</f>
        <v>0.26995194161143127</v>
      </c>
    </row>
    <row r="389" spans="2:19">
      <c r="B389" s="17">
        <f>('Q1'!W280-B$106)/B$107</f>
        <v>0.93733359618883683</v>
      </c>
      <c r="C389" s="17">
        <f>('Q1'!X280-C$106)/C$107</f>
        <v>0.18276544879517176</v>
      </c>
      <c r="D389" s="17">
        <f>('Q1'!Y280-D$106)/D$107</f>
        <v>0.58879549565182987</v>
      </c>
      <c r="E389" s="17">
        <f>('Q1'!Z280-E$106)/E$107</f>
        <v>8.7649353345232318E-3</v>
      </c>
      <c r="F389" s="17">
        <f>('Q1'!AA280-F$106)/F$107</f>
        <v>2.7854405410377846E-3</v>
      </c>
      <c r="G389" s="17">
        <f>('Q1'!AB280-G$106)/G$107</f>
        <v>-0.52215683859842754</v>
      </c>
      <c r="H389" s="17">
        <f>('Q1'!AC280-H$106)/H$107</f>
        <v>-1.1741477150418718</v>
      </c>
      <c r="I389" s="17">
        <f>('Q1'!AD280-I$106)/I$107</f>
        <v>0.86931134541138133</v>
      </c>
      <c r="J389" s="17">
        <f>('Q1'!AE280-J$106)/J$107</f>
        <v>0.844363630571761</v>
      </c>
      <c r="K389" s="17">
        <f>('Q1'!AF280-K$106)/K$107</f>
        <v>-0.84125435964811035</v>
      </c>
      <c r="L389" s="17">
        <f>('Q1'!AG280-L$106)/L$107</f>
        <v>-0.36120597401414406</v>
      </c>
      <c r="M389" s="17">
        <f>('Q1'!AH280-M$106)/M$107</f>
        <v>0.15653711758313982</v>
      </c>
      <c r="N389" s="17">
        <f>('Q1'!AI280-N$106)/N$107</f>
        <v>0.64661204436940967</v>
      </c>
      <c r="O389" s="17">
        <f>('Q1'!AJ280-O$106)/O$107</f>
        <v>2.3577162382269284E-2</v>
      </c>
      <c r="P389" s="17">
        <f>('Q1'!AK280-P$106)/P$107</f>
        <v>2.9026627851266362E-2</v>
      </c>
      <c r="Q389" s="17">
        <f>('Q1'!AL280-Q$106)/Q$107</f>
        <v>-6.951426233290185E-3</v>
      </c>
      <c r="R389" s="17">
        <f>('Q1'!AM280-R$106)/R$107</f>
        <v>0.67061787530485895</v>
      </c>
      <c r="S389" s="17">
        <f>('Q1'!AN280-S$106)/S$107</f>
        <v>-0.59194951763605386</v>
      </c>
    </row>
    <row r="390" spans="2:19">
      <c r="B390" s="17">
        <f>('Q1'!W281-B$106)/B$107</f>
        <v>-0.62592445227419624</v>
      </c>
      <c r="C390" s="17">
        <f>('Q1'!X281-C$106)/C$107</f>
        <v>-0.55355259105963395</v>
      </c>
      <c r="D390" s="17">
        <f>('Q1'!Y281-D$106)/D$107</f>
        <v>-0.25303083584431146</v>
      </c>
      <c r="E390" s="17">
        <f>('Q1'!Z281-E$106)/E$107</f>
        <v>-0.43747061506000012</v>
      </c>
      <c r="F390" s="17">
        <f>('Q1'!AA281-F$106)/F$107</f>
        <v>-1.0796301138602693</v>
      </c>
      <c r="G390" s="17">
        <f>('Q1'!AB281-G$106)/G$107</f>
        <v>-1.3869354896905925</v>
      </c>
      <c r="H390" s="17">
        <f>('Q1'!AC281-H$106)/H$107</f>
        <v>-1.2129722880148757</v>
      </c>
      <c r="I390" s="17">
        <f>('Q1'!AD281-I$106)/I$107</f>
        <v>-1.784203284608999</v>
      </c>
      <c r="J390" s="17">
        <f>('Q1'!AE281-J$106)/J$107</f>
        <v>-1.6787848363363149</v>
      </c>
      <c r="K390" s="17">
        <f>('Q1'!AF281-K$106)/K$107</f>
        <v>-0.43734688490039675</v>
      </c>
      <c r="L390" s="17">
        <f>('Q1'!AG281-L$106)/L$107</f>
        <v>-0.26924322167106363</v>
      </c>
      <c r="M390" s="17">
        <f>('Q1'!AH281-M$106)/M$107</f>
        <v>-1.1257498373455375</v>
      </c>
      <c r="N390" s="17">
        <f>('Q1'!AI281-N$106)/N$107</f>
        <v>-9.9631266890895784E-2</v>
      </c>
      <c r="O390" s="17">
        <f>('Q1'!AJ281-O$106)/O$107</f>
        <v>-0.96549234182070121</v>
      </c>
      <c r="P390" s="17">
        <f>('Q1'!AK281-P$106)/P$107</f>
        <v>0.17033530831564153</v>
      </c>
      <c r="Q390" s="17">
        <f>('Q1'!AL281-Q$106)/Q$107</f>
        <v>0.95137896077397677</v>
      </c>
      <c r="R390" s="17">
        <f>('Q1'!AM281-R$106)/R$107</f>
        <v>0.7080822585893759</v>
      </c>
      <c r="S390" s="17">
        <f>('Q1'!AN281-S$106)/S$107</f>
        <v>0.14411792925840872</v>
      </c>
    </row>
    <row r="391" spans="2:19">
      <c r="B391" s="17">
        <f>('Q1'!W282-B$106)/B$107</f>
        <v>0.30414647678461604</v>
      </c>
      <c r="C391" s="17">
        <f>('Q1'!X282-C$106)/C$107</f>
        <v>0.20059973911888584</v>
      </c>
      <c r="D391" s="17">
        <f>('Q1'!Y282-D$106)/D$107</f>
        <v>0.71653344360844007</v>
      </c>
      <c r="E391" s="17">
        <f>('Q1'!Z282-E$106)/E$107</f>
        <v>0.30920432314598761</v>
      </c>
      <c r="F391" s="17">
        <f>('Q1'!AA282-F$106)/F$107</f>
        <v>1.004723562157751</v>
      </c>
      <c r="G391" s="17">
        <f>('Q1'!AB282-G$106)/G$107</f>
        <v>1.3373022192599471</v>
      </c>
      <c r="H391" s="17">
        <f>('Q1'!AC282-H$106)/H$107</f>
        <v>1.90107092805863</v>
      </c>
      <c r="I391" s="17">
        <f>('Q1'!AD282-I$106)/I$107</f>
        <v>1.1277073395971433</v>
      </c>
      <c r="J391" s="17">
        <f>('Q1'!AE282-J$106)/J$107</f>
        <v>2.8404135026315909</v>
      </c>
      <c r="K391" s="17">
        <f>('Q1'!AF282-K$106)/K$107</f>
        <v>-0.47757692592637851</v>
      </c>
      <c r="L391" s="17">
        <f>('Q1'!AG282-L$106)/L$107</f>
        <v>0.97485548090888974</v>
      </c>
      <c r="M391" s="17">
        <f>('Q1'!AH282-M$106)/M$107</f>
        <v>1.0470602043023505</v>
      </c>
      <c r="N391" s="17">
        <f>('Q1'!AI282-N$106)/N$107</f>
        <v>0.85249304019205185</v>
      </c>
      <c r="O391" s="17">
        <f>('Q1'!AJ282-O$106)/O$107</f>
        <v>1.245309474828552</v>
      </c>
      <c r="P391" s="17">
        <f>('Q1'!AK282-P$106)/P$107</f>
        <v>0.63361687176989223</v>
      </c>
      <c r="Q391" s="17">
        <f>('Q1'!AL282-Q$106)/Q$107</f>
        <v>0.4637054419340923</v>
      </c>
      <c r="R391" s="17">
        <f>('Q1'!AM282-R$106)/R$107</f>
        <v>0.3401599380097528</v>
      </c>
      <c r="S391" s="17">
        <f>('Q1'!AN282-S$106)/S$107</f>
        <v>0.66597718564151875</v>
      </c>
    </row>
    <row r="392" spans="2:19">
      <c r="B392" s="17">
        <f>('Q1'!W283-B$106)/B$107</f>
        <v>6.8904452907992686E-2</v>
      </c>
      <c r="C392" s="17">
        <f>('Q1'!X283-C$106)/C$107</f>
        <v>1.0327457927220314</v>
      </c>
      <c r="D392" s="17">
        <f>('Q1'!Y283-D$106)/D$107</f>
        <v>0.88603122139255674</v>
      </c>
      <c r="E392" s="17">
        <f>('Q1'!Z283-E$106)/E$107</f>
        <v>0.27808634218160083</v>
      </c>
      <c r="F392" s="17">
        <f>('Q1'!AA283-F$106)/F$107</f>
        <v>0.24091608457103114</v>
      </c>
      <c r="G392" s="17">
        <f>('Q1'!AB283-G$106)/G$107</f>
        <v>0.27011746188984298</v>
      </c>
      <c r="H392" s="17">
        <f>('Q1'!AC283-H$106)/H$107</f>
        <v>0.59150159857915663</v>
      </c>
      <c r="I392" s="17">
        <f>('Q1'!AD283-I$106)/I$107</f>
        <v>0.44271355110928706</v>
      </c>
      <c r="J392" s="17">
        <f>('Q1'!AE283-J$106)/J$107</f>
        <v>0.71629567047723885</v>
      </c>
      <c r="K392" s="17">
        <f>('Q1'!AF283-K$106)/K$107</f>
        <v>-0.34699036759218455</v>
      </c>
      <c r="L392" s="17">
        <f>('Q1'!AG283-L$106)/L$107</f>
        <v>-0.45714145291251146</v>
      </c>
      <c r="M392" s="17">
        <f>('Q1'!AH283-M$106)/M$107</f>
        <v>0.28267298416800052</v>
      </c>
      <c r="N392" s="17">
        <f>('Q1'!AI283-N$106)/N$107</f>
        <v>0.86525373790155002</v>
      </c>
      <c r="O392" s="17">
        <f>('Q1'!AJ283-O$106)/O$107</f>
        <v>0.7734966546330635</v>
      </c>
      <c r="P392" s="17">
        <f>('Q1'!AK283-P$106)/P$107</f>
        <v>-0.11748664129224451</v>
      </c>
      <c r="Q392" s="17">
        <f>('Q1'!AL283-Q$106)/Q$107</f>
        <v>2.8670096450956566E-2</v>
      </c>
      <c r="R392" s="17">
        <f>('Q1'!AM283-R$106)/R$107</f>
        <v>-0.31868799114322099</v>
      </c>
      <c r="S392" s="17">
        <f>('Q1'!AN283-S$106)/S$107</f>
        <v>0.98176251313026242</v>
      </c>
    </row>
    <row r="393" spans="2:19">
      <c r="B393" s="17">
        <f>('Q1'!W284-B$106)/B$107</f>
        <v>-0.55964648111111237</v>
      </c>
      <c r="C393" s="17">
        <f>('Q1'!X284-C$106)/C$107</f>
        <v>-1.0351162148036355</v>
      </c>
      <c r="D393" s="17">
        <f>('Q1'!Y284-D$106)/D$107</f>
        <v>-0.92066375871048689</v>
      </c>
      <c r="E393" s="17">
        <f>('Q1'!Z284-E$106)/E$107</f>
        <v>-1.172496360232401</v>
      </c>
      <c r="F393" s="17">
        <f>('Q1'!AA284-F$106)/F$107</f>
        <v>-1.0537998744680568</v>
      </c>
      <c r="G393" s="17">
        <f>('Q1'!AB284-G$106)/G$107</f>
        <v>-2.1240073123538838</v>
      </c>
      <c r="H393" s="17">
        <f>('Q1'!AC284-H$106)/H$107</f>
        <v>-0.71012014897444065</v>
      </c>
      <c r="I393" s="17">
        <f>('Q1'!AD284-I$106)/I$107</f>
        <v>-0.27337418765922505</v>
      </c>
      <c r="J393" s="17">
        <f>('Q1'!AE284-J$106)/J$107</f>
        <v>-0.70273790708770556</v>
      </c>
      <c r="K393" s="17">
        <f>('Q1'!AF284-K$106)/K$107</f>
        <v>-0.19865656465476603</v>
      </c>
      <c r="L393" s="17">
        <f>('Q1'!AG284-L$106)/L$107</f>
        <v>-0.79786689429654767</v>
      </c>
      <c r="M393" s="17">
        <f>('Q1'!AH284-M$106)/M$107</f>
        <v>0.82112737999707497</v>
      </c>
      <c r="N393" s="17">
        <f>('Q1'!AI284-N$106)/N$107</f>
        <v>-1.3898714732349147</v>
      </c>
      <c r="O393" s="17">
        <f>('Q1'!AJ284-O$106)/O$107</f>
        <v>-1.0886170314781229</v>
      </c>
      <c r="P393" s="17">
        <f>('Q1'!AK284-P$106)/P$107</f>
        <v>-0.62806735710342743</v>
      </c>
      <c r="Q393" s="17">
        <f>('Q1'!AL284-Q$106)/Q$107</f>
        <v>8.2798653138694805E-2</v>
      </c>
      <c r="R393" s="17">
        <f>('Q1'!AM284-R$106)/R$107</f>
        <v>-0.45243164497651955</v>
      </c>
      <c r="S393" s="17">
        <f>('Q1'!AN284-S$106)/S$107</f>
        <v>0.15989081480572476</v>
      </c>
    </row>
    <row r="394" spans="2:19">
      <c r="B394" s="17">
        <f>('Q1'!W285-B$106)/B$107</f>
        <v>0.39922755643598773</v>
      </c>
      <c r="C394" s="17">
        <f>('Q1'!X285-C$106)/C$107</f>
        <v>-0.42810753731949114</v>
      </c>
      <c r="D394" s="17">
        <f>('Q1'!Y285-D$106)/D$107</f>
        <v>-0.23365389643773699</v>
      </c>
      <c r="E394" s="17">
        <f>('Q1'!Z285-E$106)/E$107</f>
        <v>4.1786502598721888E-2</v>
      </c>
      <c r="F394" s="17">
        <f>('Q1'!AA285-F$106)/F$107</f>
        <v>-0.45272779585243128</v>
      </c>
      <c r="G394" s="17">
        <f>('Q1'!AB285-G$106)/G$107</f>
        <v>-0.46976438926572223</v>
      </c>
      <c r="H394" s="17">
        <f>('Q1'!AC285-H$106)/H$107</f>
        <v>-1.1753575278422754</v>
      </c>
      <c r="I394" s="17">
        <f>('Q1'!AD285-I$106)/I$107</f>
        <v>-1.2307598620704834</v>
      </c>
      <c r="J394" s="17">
        <f>('Q1'!AE285-J$106)/J$107</f>
        <v>-1.4744339711403904</v>
      </c>
      <c r="K394" s="17">
        <f>('Q1'!AF285-K$106)/K$107</f>
        <v>-1.0998824921565038</v>
      </c>
      <c r="L394" s="17">
        <f>('Q1'!AG285-L$106)/L$107</f>
        <v>-0.73605443666357928</v>
      </c>
      <c r="M394" s="17">
        <f>('Q1'!AH285-M$106)/M$107</f>
        <v>-0.75688135965521719</v>
      </c>
      <c r="N394" s="17">
        <f>('Q1'!AI285-N$106)/N$107</f>
        <v>-0.1500786105574439</v>
      </c>
      <c r="O394" s="17">
        <f>('Q1'!AJ285-O$106)/O$107</f>
        <v>-0.33504825986629244</v>
      </c>
      <c r="P394" s="17">
        <f>('Q1'!AK285-P$106)/P$107</f>
        <v>-1.023906432460908</v>
      </c>
      <c r="Q394" s="17">
        <f>('Q1'!AL285-Q$106)/Q$107</f>
        <v>-0.78741184393272601</v>
      </c>
      <c r="R394" s="17">
        <f>('Q1'!AM285-R$106)/R$107</f>
        <v>-0.58102133276067025</v>
      </c>
      <c r="S394" s="17">
        <f>('Q1'!AN285-S$106)/S$107</f>
        <v>-0.56104267161824584</v>
      </c>
    </row>
    <row r="395" spans="2:19">
      <c r="B395" s="17">
        <f>('Q1'!W286-B$106)/B$107</f>
        <v>-1.4990811784360925</v>
      </c>
      <c r="C395" s="17">
        <f>('Q1'!X286-C$106)/C$107</f>
        <v>-0.43668947711546918</v>
      </c>
      <c r="D395" s="17">
        <f>('Q1'!Y286-D$106)/D$107</f>
        <v>-0.61237835470922264</v>
      </c>
      <c r="E395" s="17">
        <f>('Q1'!Z286-E$106)/E$107</f>
        <v>-0.36678470004316188</v>
      </c>
      <c r="F395" s="17">
        <f>('Q1'!AA286-F$106)/F$107</f>
        <v>-1.6527172439535835</v>
      </c>
      <c r="G395" s="17">
        <f>('Q1'!AB286-G$106)/G$107</f>
        <v>0.42907169695429248</v>
      </c>
      <c r="H395" s="17">
        <f>('Q1'!AC286-H$106)/H$107</f>
        <v>-0.52761948576442375</v>
      </c>
      <c r="I395" s="17">
        <f>('Q1'!AD286-I$106)/I$107</f>
        <v>0.41392225064808735</v>
      </c>
      <c r="J395" s="17">
        <f>('Q1'!AE286-J$106)/J$107</f>
        <v>0.19311206840285958</v>
      </c>
      <c r="K395" s="17">
        <f>('Q1'!AF286-K$106)/K$107</f>
        <v>-1.3679247990081478</v>
      </c>
      <c r="L395" s="17">
        <f>('Q1'!AG286-L$106)/L$107</f>
        <v>-0.35339450577906611</v>
      </c>
      <c r="M395" s="17">
        <f>('Q1'!AH286-M$106)/M$107</f>
        <v>-0.28141654100335695</v>
      </c>
      <c r="N395" s="17">
        <f>('Q1'!AI286-N$106)/N$107</f>
        <v>-0.43947024770001109</v>
      </c>
      <c r="O395" s="17">
        <f>('Q1'!AJ286-O$106)/O$107</f>
        <v>-1.2294981203178377</v>
      </c>
      <c r="P395" s="17">
        <f>('Q1'!AK286-P$106)/P$107</f>
        <v>-0.25634925513561907</v>
      </c>
      <c r="Q395" s="17">
        <f>('Q1'!AL286-Q$106)/Q$107</f>
        <v>0.19673833012946548</v>
      </c>
      <c r="R395" s="17">
        <f>('Q1'!AM286-R$106)/R$107</f>
        <v>0.7336016647375474</v>
      </c>
      <c r="S395" s="17">
        <f>('Q1'!AN286-S$106)/S$107</f>
        <v>0.33441659601479989</v>
      </c>
    </row>
    <row r="396" spans="2:19">
      <c r="B396" s="17">
        <f>('Q1'!W287-B$106)/B$107</f>
        <v>0.94118455387710565</v>
      </c>
      <c r="C396" s="17">
        <f>('Q1'!X287-C$106)/C$107</f>
        <v>1.3341710563982367</v>
      </c>
      <c r="D396" s="17">
        <f>('Q1'!Y287-D$106)/D$107</f>
        <v>1.4113903612281378</v>
      </c>
      <c r="E396" s="17">
        <f>('Q1'!Z287-E$106)/E$107</f>
        <v>1.4138438251375316</v>
      </c>
      <c r="F396" s="17">
        <f>('Q1'!AA287-F$106)/F$107</f>
        <v>1.3140602155638044</v>
      </c>
      <c r="G396" s="17">
        <f>('Q1'!AB287-G$106)/G$107</f>
        <v>2.2818893516836143</v>
      </c>
      <c r="H396" s="17">
        <f>('Q1'!AC287-H$106)/H$107</f>
        <v>-0.21318010802924287</v>
      </c>
      <c r="I396" s="17">
        <f>('Q1'!AD287-I$106)/I$107</f>
        <v>0.43619881909382746</v>
      </c>
      <c r="J396" s="17">
        <f>('Q1'!AE287-J$106)/J$107</f>
        <v>0.69501297628745284</v>
      </c>
      <c r="K396" s="17">
        <f>('Q1'!AF287-K$106)/K$107</f>
        <v>-0.11634112195162791</v>
      </c>
      <c r="L396" s="17">
        <f>('Q1'!AG287-L$106)/L$107</f>
        <v>1.8127441886013187</v>
      </c>
      <c r="M396" s="17">
        <f>('Q1'!AH287-M$106)/M$107</f>
        <v>1.6151312580276276</v>
      </c>
      <c r="N396" s="17">
        <f>('Q1'!AI287-N$106)/N$107</f>
        <v>1.3434285499679675</v>
      </c>
      <c r="O396" s="17">
        <f>('Q1'!AJ287-O$106)/O$107</f>
        <v>1.3919927982567279</v>
      </c>
      <c r="P396" s="17">
        <f>('Q1'!AK287-P$106)/P$107</f>
        <v>0.78256738809557924</v>
      </c>
      <c r="Q396" s="17">
        <f>('Q1'!AL287-Q$106)/Q$107</f>
        <v>0.59326426096986995</v>
      </c>
      <c r="R396" s="17">
        <f>('Q1'!AM287-R$106)/R$107</f>
        <v>1.3553217648182743</v>
      </c>
      <c r="S396" s="17">
        <f>('Q1'!AN287-S$106)/S$107</f>
        <v>1.2423037894300739</v>
      </c>
    </row>
    <row r="397" spans="2:19">
      <c r="B397" s="17">
        <f>('Q1'!W288-B$106)/B$107</f>
        <v>0.68317580267849409</v>
      </c>
      <c r="C397" s="17">
        <f>('Q1'!X288-C$106)/C$107</f>
        <v>0.93166462494041224</v>
      </c>
      <c r="D397" s="17">
        <f>('Q1'!Y288-D$106)/D$107</f>
        <v>0.93012274090354741</v>
      </c>
      <c r="E397" s="17">
        <f>('Q1'!Z288-E$106)/E$107</f>
        <v>1.095438326388454</v>
      </c>
      <c r="F397" s="17">
        <f>('Q1'!AA288-F$106)/F$107</f>
        <v>2.7020941794269691</v>
      </c>
      <c r="G397" s="17">
        <f>('Q1'!AB288-G$106)/G$107</f>
        <v>2.0203628653498771</v>
      </c>
      <c r="H397" s="17">
        <f>('Q1'!AC288-H$106)/H$107</f>
        <v>1.0026261147989513</v>
      </c>
      <c r="I397" s="17">
        <f>('Q1'!AD288-I$106)/I$107</f>
        <v>-1.04416156930163</v>
      </c>
      <c r="J397" s="17">
        <f>('Q1'!AE288-J$106)/J$107</f>
        <v>0.93263704596716202</v>
      </c>
      <c r="K397" s="17">
        <f>('Q1'!AF288-K$106)/K$107</f>
        <v>-0.76827491265823333</v>
      </c>
      <c r="L397" s="17">
        <f>('Q1'!AG288-L$106)/L$107</f>
        <v>0.95704258475991955</v>
      </c>
      <c r="M397" s="17">
        <f>('Q1'!AH288-M$106)/M$107</f>
        <v>0.35755221492076056</v>
      </c>
      <c r="N397" s="17">
        <f>('Q1'!AI288-N$106)/N$107</f>
        <v>1.2527465256978068</v>
      </c>
      <c r="O397" s="17">
        <f>('Q1'!AJ288-O$106)/O$107</f>
        <v>0.71696489133593999</v>
      </c>
      <c r="P397" s="17">
        <f>('Q1'!AK288-P$106)/P$107</f>
        <v>-9.8204315096794018E-2</v>
      </c>
      <c r="Q397" s="17">
        <f>('Q1'!AL288-Q$106)/Q$107</f>
        <v>0.14263584995006293</v>
      </c>
      <c r="R397" s="17">
        <f>('Q1'!AM288-R$106)/R$107</f>
        <v>-0.21884126182769592</v>
      </c>
      <c r="S397" s="17">
        <f>('Q1'!AN288-S$106)/S$107</f>
        <v>0.50451268245941661</v>
      </c>
    </row>
    <row r="398" spans="2:19">
      <c r="B398" s="17">
        <f>('Q1'!W289-B$106)/B$107</f>
        <v>-0.4207702053208226</v>
      </c>
      <c r="C398" s="17">
        <f>('Q1'!X289-C$106)/C$107</f>
        <v>-1.2433335700925848E-3</v>
      </c>
      <c r="D398" s="17">
        <f>('Q1'!Y289-D$106)/D$107</f>
        <v>0.16688100493689045</v>
      </c>
      <c r="E398" s="17">
        <f>('Q1'!Z289-E$106)/E$107</f>
        <v>0.76577668785732023</v>
      </c>
      <c r="F398" s="17">
        <f>('Q1'!AA289-F$106)/F$107</f>
        <v>-0.85193157303677447</v>
      </c>
      <c r="G398" s="17">
        <f>('Q1'!AB289-G$106)/G$107</f>
        <v>-0.7233666417887763</v>
      </c>
      <c r="H398" s="17">
        <f>('Q1'!AC289-H$106)/H$107</f>
        <v>-0.32896389918792751</v>
      </c>
      <c r="I398" s="17">
        <f>('Q1'!AD289-I$106)/I$107</f>
        <v>1.2752380159539647</v>
      </c>
      <c r="J398" s="17">
        <f>('Q1'!AE289-J$106)/J$107</f>
        <v>-0.69883116702422032</v>
      </c>
      <c r="K398" s="17">
        <f>('Q1'!AF289-K$106)/K$107</f>
        <v>-1.04916610090716</v>
      </c>
      <c r="L398" s="17">
        <f>('Q1'!AG289-L$106)/L$107</f>
        <v>0.67432782730288066</v>
      </c>
      <c r="M398" s="17">
        <f>('Q1'!AH289-M$106)/M$107</f>
        <v>-0.15370333155605215</v>
      </c>
      <c r="N398" s="17">
        <f>('Q1'!AI289-N$106)/N$107</f>
        <v>0.11732733479395334</v>
      </c>
      <c r="O398" s="17">
        <f>('Q1'!AJ289-O$106)/O$107</f>
        <v>-1.0368457031556717</v>
      </c>
      <c r="P398" s="17">
        <f>('Q1'!AK289-P$106)/P$107</f>
        <v>-0.61497268418365514</v>
      </c>
      <c r="Q398" s="17">
        <f>('Q1'!AL289-Q$106)/Q$107</f>
        <v>-2.6992193271899792E-3</v>
      </c>
      <c r="R398" s="17">
        <f>('Q1'!AM289-R$106)/R$107</f>
        <v>0.5648205849790473</v>
      </c>
      <c r="S398" s="17">
        <f>('Q1'!AN289-S$106)/S$107</f>
        <v>1.613773537429541</v>
      </c>
    </row>
    <row r="399" spans="2:19">
      <c r="B399" s="17">
        <f>('Q1'!W290-B$106)/B$107</f>
        <v>0.97776962648177035</v>
      </c>
      <c r="C399" s="17">
        <f>('Q1'!X290-C$106)/C$107</f>
        <v>4.3109872745183339E-2</v>
      </c>
      <c r="D399" s="17">
        <f>('Q1'!Y290-D$106)/D$107</f>
        <v>0.73992771849800743</v>
      </c>
      <c r="E399" s="17">
        <f>('Q1'!Z290-E$106)/E$107</f>
        <v>-0.12822389088788139</v>
      </c>
      <c r="F399" s="17">
        <f>('Q1'!AA290-F$106)/F$107</f>
        <v>-0.56369823303782396</v>
      </c>
      <c r="G399" s="17">
        <f>('Q1'!AB290-G$106)/G$107</f>
        <v>-0.43684311053244923</v>
      </c>
      <c r="H399" s="17">
        <f>('Q1'!AC290-H$106)/H$107</f>
        <v>-1.0636691231811957</v>
      </c>
      <c r="I399" s="17">
        <f>('Q1'!AD290-I$106)/I$107</f>
        <v>0.20233324005142855</v>
      </c>
      <c r="J399" s="17">
        <f>('Q1'!AE290-J$106)/J$107</f>
        <v>-0.62837582144870729</v>
      </c>
      <c r="K399" s="17">
        <f>('Q1'!AF290-K$106)/K$107</f>
        <v>-0.14109533241210045</v>
      </c>
      <c r="L399" s="17">
        <f>('Q1'!AG290-L$106)/L$107</f>
        <v>0.95211854495731352</v>
      </c>
      <c r="M399" s="17">
        <f>('Q1'!AH290-M$106)/M$107</f>
        <v>-0.92357530643435581</v>
      </c>
      <c r="N399" s="17">
        <f>('Q1'!AI290-N$106)/N$107</f>
        <v>1.1820460256472147</v>
      </c>
      <c r="O399" s="17">
        <f>('Q1'!AJ290-O$106)/O$107</f>
        <v>-0.15904506286571943</v>
      </c>
      <c r="P399" s="17">
        <f>('Q1'!AK290-P$106)/P$107</f>
        <v>-0.4121044349354327</v>
      </c>
      <c r="Q399" s="17">
        <f>('Q1'!AL290-Q$106)/Q$107</f>
        <v>0.91570316515685768</v>
      </c>
      <c r="R399" s="17">
        <f>('Q1'!AM290-R$106)/R$107</f>
        <v>0.35423595156096943</v>
      </c>
      <c r="S399" s="17">
        <f>('Q1'!AN290-S$106)/S$107</f>
        <v>8.0704502643612099E-3</v>
      </c>
    </row>
    <row r="400" spans="2:19">
      <c r="B400" s="17">
        <f>('Q1'!W291-B$106)/B$107</f>
        <v>1.1413466727474555</v>
      </c>
      <c r="C400" s="17">
        <f>('Q1'!X291-C$106)/C$107</f>
        <v>0.86937031052588043</v>
      </c>
      <c r="D400" s="17">
        <f>('Q1'!Y291-D$106)/D$107</f>
        <v>0.77352678632132477</v>
      </c>
      <c r="E400" s="17">
        <f>('Q1'!Z291-E$106)/E$107</f>
        <v>1.2691502353866195</v>
      </c>
      <c r="F400" s="17">
        <f>('Q1'!AA291-F$106)/F$107</f>
        <v>0.95666063418143144</v>
      </c>
      <c r="G400" s="17">
        <f>('Q1'!AB291-G$106)/G$107</f>
        <v>1.0659045587084308</v>
      </c>
      <c r="H400" s="17">
        <f>('Q1'!AC291-H$106)/H$107</f>
        <v>1.3415758408569889</v>
      </c>
      <c r="I400" s="17">
        <f>('Q1'!AD291-I$106)/I$107</f>
        <v>0.26106202947564927</v>
      </c>
      <c r="J400" s="17">
        <f>('Q1'!AE291-J$106)/J$107</f>
        <v>1.0263270826602342</v>
      </c>
      <c r="K400" s="17">
        <f>('Q1'!AF291-K$106)/K$107</f>
        <v>0.6726927714882962</v>
      </c>
      <c r="L400" s="17">
        <f>('Q1'!AG291-L$106)/L$107</f>
        <v>0.29922216808444563</v>
      </c>
      <c r="M400" s="17">
        <f>('Q1'!AH291-M$106)/M$107</f>
        <v>-0.30468607047218665</v>
      </c>
      <c r="N400" s="17">
        <f>('Q1'!AI291-N$106)/N$107</f>
        <v>0.48449485512484614</v>
      </c>
      <c r="O400" s="17">
        <f>('Q1'!AJ291-O$106)/O$107</f>
        <v>-6.2176590686140544E-2</v>
      </c>
      <c r="P400" s="17">
        <f>('Q1'!AK291-P$106)/P$107</f>
        <v>-0.68594922547309722</v>
      </c>
      <c r="Q400" s="17">
        <f>('Q1'!AL291-Q$106)/Q$107</f>
        <v>-1.033031529847972E-2</v>
      </c>
      <c r="R400" s="17">
        <f>('Q1'!AM291-R$106)/R$107</f>
        <v>8.7400609767093185E-2</v>
      </c>
      <c r="S400" s="17">
        <f>('Q1'!AN291-S$106)/S$107</f>
        <v>0.48072623412768473</v>
      </c>
    </row>
    <row r="401" spans="2:19">
      <c r="B401" s="17">
        <f>('Q1'!W292-B$106)/B$107</f>
        <v>0.61906114356326614</v>
      </c>
      <c r="C401" s="17">
        <f>('Q1'!X292-C$106)/C$107</f>
        <v>-0.31002733925408987</v>
      </c>
      <c r="D401" s="17">
        <f>('Q1'!Y292-D$106)/D$107</f>
        <v>-0.6316800121125925</v>
      </c>
      <c r="E401" s="17">
        <f>('Q1'!Z292-E$106)/E$107</f>
        <v>-0.28369596925457907</v>
      </c>
      <c r="F401" s="17">
        <f>('Q1'!AA292-F$106)/F$107</f>
        <v>-1.3837459592983845</v>
      </c>
      <c r="G401" s="17">
        <f>('Q1'!AB292-G$106)/G$107</f>
        <v>-0.62279911539249289</v>
      </c>
      <c r="H401" s="17">
        <f>('Q1'!AC292-H$106)/H$107</f>
        <v>-0.71130626006820041</v>
      </c>
      <c r="I401" s="17">
        <f>('Q1'!AD292-I$106)/I$107</f>
        <v>-3.3692322382216096E-2</v>
      </c>
      <c r="J401" s="17">
        <f>('Q1'!AE292-J$106)/J$107</f>
        <v>-0.80875257258946542</v>
      </c>
      <c r="K401" s="17">
        <f>('Q1'!AF292-K$106)/K$107</f>
        <v>-1.3360533951044491</v>
      </c>
      <c r="L401" s="17">
        <f>('Q1'!AG292-L$106)/L$107</f>
        <v>0.19007966359756942</v>
      </c>
      <c r="M401" s="17">
        <f>('Q1'!AH292-M$106)/M$107</f>
        <v>-0.11007530727818714</v>
      </c>
      <c r="N401" s="17">
        <f>('Q1'!AI292-N$106)/N$107</f>
        <v>0.16507494110014176</v>
      </c>
      <c r="O401" s="17">
        <f>('Q1'!AJ292-O$106)/O$107</f>
        <v>-0.41214173113377439</v>
      </c>
      <c r="P401" s="17">
        <f>('Q1'!AK292-P$106)/P$107</f>
        <v>-0.29375406285584482</v>
      </c>
      <c r="Q401" s="17">
        <f>('Q1'!AL292-Q$106)/Q$107</f>
        <v>-0.40365784080003397</v>
      </c>
      <c r="R401" s="17">
        <f>('Q1'!AM292-R$106)/R$107</f>
        <v>-1.0799333204916</v>
      </c>
      <c r="S401" s="17">
        <f>('Q1'!AN292-S$106)/S$107</f>
        <v>-1.8982028492331429</v>
      </c>
    </row>
    <row r="402" spans="2:19">
      <c r="B402" s="17">
        <f>('Q1'!W293-B$106)/B$107</f>
        <v>0.82252883159264689</v>
      </c>
      <c r="C402" s="17">
        <f>('Q1'!X293-C$106)/C$107</f>
        <v>0.6365092157369272</v>
      </c>
      <c r="D402" s="17">
        <f>('Q1'!Y293-D$106)/D$107</f>
        <v>0.61359754557498158</v>
      </c>
      <c r="E402" s="17">
        <f>('Q1'!Z293-E$106)/E$107</f>
        <v>0.11306616480771718</v>
      </c>
      <c r="F402" s="17">
        <f>('Q1'!AA293-F$106)/F$107</f>
        <v>-3.1655419437621055E-2</v>
      </c>
      <c r="G402" s="17">
        <f>('Q1'!AB293-G$106)/G$107</f>
        <v>0.36991133977448509</v>
      </c>
      <c r="H402" s="17">
        <f>('Q1'!AC293-H$106)/H$107</f>
        <v>-0.69920042702451013</v>
      </c>
      <c r="I402" s="17">
        <f>('Q1'!AD293-I$106)/I$107</f>
        <v>0.14087053033618852</v>
      </c>
      <c r="J402" s="17">
        <f>('Q1'!AE293-J$106)/J$107</f>
        <v>-0.66745582716138263</v>
      </c>
      <c r="K402" s="17">
        <f>('Q1'!AF293-K$106)/K$107</f>
        <v>1.893087164829476</v>
      </c>
      <c r="L402" s="17">
        <f>('Q1'!AG293-L$106)/L$107</f>
        <v>0.19941488655593473</v>
      </c>
      <c r="M402" s="17">
        <f>('Q1'!AH293-M$106)/M$107</f>
        <v>1.8602179691059646</v>
      </c>
      <c r="N402" s="17">
        <f>('Q1'!AI293-N$106)/N$107</f>
        <v>4.1178457599461288E-3</v>
      </c>
      <c r="O402" s="17">
        <f>('Q1'!AJ293-O$106)/O$107</f>
        <v>-0.81754906759409629</v>
      </c>
      <c r="P402" s="17">
        <f>('Q1'!AK293-P$106)/P$107</f>
        <v>0.9306615344385436</v>
      </c>
      <c r="Q402" s="17">
        <f>('Q1'!AL293-Q$106)/Q$107</f>
        <v>-0.10611940561330845</v>
      </c>
      <c r="R402" s="17">
        <f>('Q1'!AM293-R$106)/R$107</f>
        <v>0.67688983083216314</v>
      </c>
      <c r="S402" s="17">
        <f>('Q1'!AN293-S$106)/S$107</f>
        <v>-4.1261064179309519E-2</v>
      </c>
    </row>
    <row r="403" spans="2:19">
      <c r="B403" s="17">
        <f>('Q1'!W294-B$106)/B$107</f>
        <v>-0.52939701816504325</v>
      </c>
      <c r="C403" s="17">
        <f>('Q1'!X294-C$106)/C$107</f>
        <v>-0.14251701631144884</v>
      </c>
      <c r="D403" s="17">
        <f>('Q1'!Y294-D$106)/D$107</f>
        <v>-0.14969304268788136</v>
      </c>
      <c r="E403" s="17">
        <f>('Q1'!Z294-E$106)/E$107</f>
        <v>0.21035888745033857</v>
      </c>
      <c r="F403" s="17">
        <f>('Q1'!AA294-F$106)/F$107</f>
        <v>-1.0068693501282033</v>
      </c>
      <c r="G403" s="17">
        <f>('Q1'!AB294-G$106)/G$107</f>
        <v>-0.18650114419020733</v>
      </c>
      <c r="H403" s="17">
        <f>('Q1'!AC294-H$106)/H$107</f>
        <v>-0.21823351477100919</v>
      </c>
      <c r="I403" s="17">
        <f>('Q1'!AD294-I$106)/I$107</f>
        <v>-0.10349707796764834</v>
      </c>
      <c r="J403" s="17">
        <f>('Q1'!AE294-J$106)/J$107</f>
        <v>-1.1083584104983224</v>
      </c>
      <c r="K403" s="17">
        <f>('Q1'!AF294-K$106)/K$107</f>
        <v>-0.21645762286712408</v>
      </c>
      <c r="L403" s="17">
        <f>('Q1'!AG294-L$106)/L$107</f>
        <v>-0.50889649506096946</v>
      </c>
      <c r="M403" s="17">
        <f>('Q1'!AH294-M$106)/M$107</f>
        <v>-6.4353228216334435E-2</v>
      </c>
      <c r="N403" s="17">
        <f>('Q1'!AI294-N$106)/N$107</f>
        <v>-0.155776165151156</v>
      </c>
      <c r="O403" s="17">
        <f>('Q1'!AJ294-O$106)/O$107</f>
        <v>-0.40645495005806231</v>
      </c>
      <c r="P403" s="17">
        <f>('Q1'!AK294-P$106)/P$107</f>
        <v>0.64442234509712881</v>
      </c>
      <c r="Q403" s="17">
        <f>('Q1'!AL294-Q$106)/Q$107</f>
        <v>0.57445943293102464</v>
      </c>
      <c r="R403" s="17">
        <f>('Q1'!AM294-R$106)/R$107</f>
        <v>0.83058564634589915</v>
      </c>
      <c r="S403" s="17">
        <f>('Q1'!AN294-S$106)/S$107</f>
        <v>0.55567936503948945</v>
      </c>
    </row>
    <row r="404" spans="2:19">
      <c r="B404" s="17">
        <f>('Q1'!W295-B$106)/B$107</f>
        <v>0.86010333363846547</v>
      </c>
      <c r="C404" s="17">
        <f>('Q1'!X295-C$106)/C$107</f>
        <v>8.6100753516893225E-2</v>
      </c>
      <c r="D404" s="17">
        <f>('Q1'!Y295-D$106)/D$107</f>
        <v>0.4857790321216966</v>
      </c>
      <c r="E404" s="17">
        <f>('Q1'!Z295-E$106)/E$107</f>
        <v>0.16802752273031971</v>
      </c>
      <c r="F404" s="17">
        <f>('Q1'!AA295-F$106)/F$107</f>
        <v>-8.7967875450456687E-2</v>
      </c>
      <c r="G404" s="17">
        <f>('Q1'!AB295-G$106)/G$107</f>
        <v>-0.78944875730733943</v>
      </c>
      <c r="H404" s="17">
        <f>('Q1'!AC295-H$106)/H$107</f>
        <v>-0.18782701997888462</v>
      </c>
      <c r="I404" s="17">
        <f>('Q1'!AD295-I$106)/I$107</f>
        <v>-0.64561758661957858</v>
      </c>
      <c r="J404" s="17">
        <f>('Q1'!AE295-J$106)/J$107</f>
        <v>3.8413085470965971</v>
      </c>
      <c r="K404" s="17">
        <f>('Q1'!AF295-K$106)/K$107</f>
        <v>1.4442237695083733</v>
      </c>
      <c r="L404" s="17">
        <f>('Q1'!AG295-L$106)/L$107</f>
        <v>0.91024238472796837</v>
      </c>
      <c r="M404" s="17">
        <f>('Q1'!AH295-M$106)/M$107</f>
        <v>0.39652049290039404</v>
      </c>
      <c r="N404" s="17">
        <f>('Q1'!AI295-N$106)/N$107</f>
        <v>-0.12798444346940335</v>
      </c>
      <c r="O404" s="17">
        <f>('Q1'!AJ295-O$106)/O$107</f>
        <v>0.92991008738225156</v>
      </c>
      <c r="P404" s="17">
        <f>('Q1'!AK295-P$106)/P$107</f>
        <v>0.25893544300371524</v>
      </c>
      <c r="Q404" s="17">
        <f>('Q1'!AL295-Q$106)/Q$107</f>
        <v>-0.42413582148608997</v>
      </c>
      <c r="R404" s="17">
        <f>('Q1'!AM295-R$106)/R$107</f>
        <v>-0.94748261019303015</v>
      </c>
      <c r="S404" s="17">
        <f>('Q1'!AN295-S$106)/S$107</f>
        <v>1.4469184142743783</v>
      </c>
    </row>
    <row r="405" spans="2:19">
      <c r="B405" s="17">
        <f>('Q1'!W296-B$106)/B$107</f>
        <v>0.1052822876396256</v>
      </c>
      <c r="C405" s="17">
        <f>('Q1'!X296-C$106)/C$107</f>
        <v>6.1586515376254322E-3</v>
      </c>
      <c r="D405" s="17">
        <f>('Q1'!Y296-D$106)/D$107</f>
        <v>0.605166371124368</v>
      </c>
      <c r="E405" s="17">
        <f>('Q1'!Z296-E$106)/E$107</f>
        <v>-0.32083630884868664</v>
      </c>
      <c r="F405" s="17">
        <f>('Q1'!AA296-F$106)/F$107</f>
        <v>-0.1058267145362162</v>
      </c>
      <c r="G405" s="17">
        <f>('Q1'!AB296-G$106)/G$107</f>
        <v>-0.84616488777127752</v>
      </c>
      <c r="H405" s="17">
        <f>('Q1'!AC296-H$106)/H$107</f>
        <v>0.26861443154953518</v>
      </c>
      <c r="I405" s="17">
        <f>('Q1'!AD296-I$106)/I$107</f>
        <v>1.2976660202905748</v>
      </c>
      <c r="J405" s="17">
        <f>('Q1'!AE296-J$106)/J$107</f>
        <v>-0.48493195583213805</v>
      </c>
      <c r="K405" s="17">
        <f>('Q1'!AF296-K$106)/K$107</f>
        <v>-0.67400598216439167</v>
      </c>
      <c r="L405" s="17">
        <f>('Q1'!AG296-L$106)/L$107</f>
        <v>0.16092643481459337</v>
      </c>
      <c r="M405" s="17">
        <f>('Q1'!AH296-M$106)/M$107</f>
        <v>0.20828171250821328</v>
      </c>
      <c r="N405" s="17">
        <f>('Q1'!AI296-N$106)/N$107</f>
        <v>-0.29460438253820753</v>
      </c>
      <c r="O405" s="17">
        <f>('Q1'!AJ296-O$106)/O$107</f>
        <v>0.26759895102499215</v>
      </c>
      <c r="P405" s="17">
        <f>('Q1'!AK296-P$106)/P$107</f>
        <v>4.8675031449710422E-2</v>
      </c>
      <c r="Q405" s="17">
        <f>('Q1'!AL296-Q$106)/Q$107</f>
        <v>-0.52505527658846951</v>
      </c>
      <c r="R405" s="17">
        <f>('Q1'!AM296-R$106)/R$107</f>
        <v>-0.18557170384469812</v>
      </c>
      <c r="S405" s="17">
        <f>('Q1'!AN296-S$106)/S$107</f>
        <v>0.6271899801613614</v>
      </c>
    </row>
    <row r="406" spans="2:19">
      <c r="B406" s="17">
        <f>('Q1'!W297-B$106)/B$107</f>
        <v>2.3941049571644557E-2</v>
      </c>
      <c r="C406" s="17">
        <f>('Q1'!X297-C$106)/C$107</f>
        <v>-0.33049236889307837</v>
      </c>
      <c r="D406" s="17">
        <f>('Q1'!Y297-D$106)/D$107</f>
        <v>-0.85876908587150225</v>
      </c>
      <c r="E406" s="17">
        <f>('Q1'!Z297-E$106)/E$107</f>
        <v>5.2911813243328269E-2</v>
      </c>
      <c r="F406" s="17">
        <f>('Q1'!AA297-F$106)/F$107</f>
        <v>0.94746640404875759</v>
      </c>
      <c r="G406" s="17">
        <f>('Q1'!AB297-G$106)/G$107</f>
        <v>-1.4298253150535262E-2</v>
      </c>
      <c r="H406" s="17">
        <f>('Q1'!AC297-H$106)/H$107</f>
        <v>0.81505449265654339</v>
      </c>
      <c r="I406" s="17">
        <f>('Q1'!AD297-I$106)/I$107</f>
        <v>4.1562515883094432E-2</v>
      </c>
      <c r="J406" s="17">
        <f>('Q1'!AE297-J$106)/J$107</f>
        <v>0.779385756854583</v>
      </c>
      <c r="K406" s="17">
        <f>('Q1'!AF297-K$106)/K$107</f>
        <v>-0.10754961809793058</v>
      </c>
      <c r="L406" s="17">
        <f>('Q1'!AG297-L$106)/L$107</f>
        <v>0.41928809418223523</v>
      </c>
      <c r="M406" s="17">
        <f>('Q1'!AH297-M$106)/M$107</f>
        <v>6.7858120085148563E-2</v>
      </c>
      <c r="N406" s="17">
        <f>('Q1'!AI297-N$106)/N$107</f>
        <v>-0.43713550617320046</v>
      </c>
      <c r="O406" s="17">
        <f>('Q1'!AJ297-O$106)/O$107</f>
        <v>0.66163401935415411</v>
      </c>
      <c r="P406" s="17">
        <f>('Q1'!AK297-P$106)/P$107</f>
        <v>-6.4498881291492061E-2</v>
      </c>
      <c r="Q406" s="17">
        <f>('Q1'!AL297-Q$106)/Q$107</f>
        <v>0.17251677427511358</v>
      </c>
      <c r="R406" s="17">
        <f>('Q1'!AM297-R$106)/R$107</f>
        <v>0.26710285841787618</v>
      </c>
      <c r="S406" s="17">
        <f>('Q1'!AN297-S$106)/S$107</f>
        <v>1.3407159865248623</v>
      </c>
    </row>
    <row r="407" spans="2:19">
      <c r="B407" s="17">
        <f>('Q1'!W298-B$106)/B$107</f>
        <v>0.10877688377910356</v>
      </c>
      <c r="C407" s="17">
        <f>('Q1'!X298-C$106)/C$107</f>
        <v>0.4579506691029967</v>
      </c>
      <c r="D407" s="17">
        <f>('Q1'!Y298-D$106)/D$107</f>
        <v>0.48979251279947017</v>
      </c>
      <c r="E407" s="17">
        <f>('Q1'!Z298-E$106)/E$107</f>
        <v>0.19125481406808056</v>
      </c>
      <c r="F407" s="17">
        <f>('Q1'!AA298-F$106)/F$107</f>
        <v>-2.4463795625607045E-2</v>
      </c>
      <c r="G407" s="17">
        <f>('Q1'!AB298-G$106)/G$107</f>
        <v>-0.15697619361816401</v>
      </c>
      <c r="H407" s="17">
        <f>('Q1'!AC298-H$106)/H$107</f>
        <v>-0.50847184459683059</v>
      </c>
      <c r="I407" s="17">
        <f>('Q1'!AD298-I$106)/I$107</f>
        <v>-1.0606672585705303</v>
      </c>
      <c r="J407" s="17">
        <f>('Q1'!AE298-J$106)/J$107</f>
        <v>-1.8870024246225321</v>
      </c>
      <c r="K407" s="17">
        <f>('Q1'!AF298-K$106)/K$107</f>
        <v>-0.43311675674683725</v>
      </c>
      <c r="L407" s="17">
        <f>('Q1'!AG298-L$106)/L$107</f>
        <v>-0.16437586457330117</v>
      </c>
      <c r="M407" s="17">
        <f>('Q1'!AH298-M$106)/M$107</f>
        <v>-3.5887907454703868E-2</v>
      </c>
      <c r="N407" s="17">
        <f>('Q1'!AI298-N$106)/N$107</f>
        <v>1.6814232022018816</v>
      </c>
      <c r="O407" s="17">
        <f>('Q1'!AJ298-O$106)/O$107</f>
        <v>-2.0052824293650846</v>
      </c>
      <c r="P407" s="17">
        <f>('Q1'!AK298-P$106)/P$107</f>
        <v>-0.50828274084677205</v>
      </c>
      <c r="Q407" s="17">
        <f>('Q1'!AL298-Q$106)/Q$107</f>
        <v>-0.16751955317250594</v>
      </c>
      <c r="R407" s="17">
        <f>('Q1'!AM298-R$106)/R$107</f>
        <v>-0.84359650951359066</v>
      </c>
      <c r="S407" s="17">
        <f>('Q1'!AN298-S$106)/S$107</f>
        <v>-0.99863563934985222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99"/>
  <sheetViews>
    <sheetView workbookViewId="0">
      <pane xSplit="1" ySplit="1" topLeftCell="B2" activePane="bottomRight" state="frozen"/>
      <selection pane="bottomRight" activeCell="W286" sqref="W286"/>
      <selection pane="bottomLeft" activeCell="A2" sqref="A2"/>
      <selection pane="topRight" activeCell="B1" sqref="B1"/>
    </sheetView>
  </sheetViews>
  <sheetFormatPr defaultColWidth="8.85546875" defaultRowHeight="15"/>
  <cols>
    <col min="1" max="1" width="10.42578125" bestFit="1" customWidth="1"/>
    <col min="22" max="22" width="11.85546875" customWidth="1"/>
  </cols>
  <sheetData>
    <row r="1" spans="1:40">
      <c r="A1" s="3" t="s">
        <v>57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V1" s="3" t="s">
        <v>57</v>
      </c>
      <c r="W1" s="2" t="s">
        <v>1</v>
      </c>
      <c r="X1" s="2" t="s">
        <v>2</v>
      </c>
      <c r="Y1" s="2" t="s">
        <v>3</v>
      </c>
      <c r="Z1" s="2" t="s">
        <v>4</v>
      </c>
      <c r="AA1" s="2" t="s">
        <v>5</v>
      </c>
      <c r="AB1" s="2" t="s">
        <v>6</v>
      </c>
      <c r="AC1" s="2" t="s">
        <v>7</v>
      </c>
      <c r="AD1" s="2" t="s">
        <v>8</v>
      </c>
      <c r="AE1" s="2" t="s">
        <v>9</v>
      </c>
      <c r="AF1" s="2" t="s">
        <v>10</v>
      </c>
      <c r="AG1" s="2" t="s">
        <v>11</v>
      </c>
      <c r="AH1" s="2" t="s">
        <v>12</v>
      </c>
      <c r="AI1" s="2" t="s">
        <v>13</v>
      </c>
      <c r="AJ1" s="2" t="s">
        <v>14</v>
      </c>
      <c r="AK1" s="2" t="s">
        <v>15</v>
      </c>
      <c r="AL1" s="2" t="s">
        <v>16</v>
      </c>
      <c r="AM1" s="2" t="s">
        <v>17</v>
      </c>
      <c r="AN1" s="2" t="s">
        <v>18</v>
      </c>
    </row>
    <row r="2" spans="1:40">
      <c r="A2" s="37">
        <v>36526</v>
      </c>
      <c r="B2" s="1">
        <v>9.4441369999999996</v>
      </c>
      <c r="C2" s="1">
        <v>12.490796999999999</v>
      </c>
      <c r="D2" s="1">
        <v>25.481019999999997</v>
      </c>
      <c r="E2" s="1">
        <v>223.44882199999998</v>
      </c>
      <c r="F2" s="1">
        <v>5.3323719999999994</v>
      </c>
      <c r="G2" s="1">
        <v>10.871687999999999</v>
      </c>
      <c r="H2" s="1">
        <v>13.243672</v>
      </c>
      <c r="I2" s="1">
        <v>25.479960999999999</v>
      </c>
      <c r="J2" s="1">
        <v>12.81861</v>
      </c>
      <c r="K2" s="1">
        <v>13.227181</v>
      </c>
      <c r="L2" s="1">
        <v>33.865257</v>
      </c>
      <c r="M2" s="1">
        <v>33.154582999999995</v>
      </c>
      <c r="N2" s="1">
        <v>9.864647999999999</v>
      </c>
      <c r="O2" s="1">
        <v>4.5905129999999996</v>
      </c>
      <c r="P2" s="1">
        <v>0.77789299999999995</v>
      </c>
      <c r="Q2" s="1">
        <v>3.2281249999999999</v>
      </c>
      <c r="R2" s="1">
        <v>29.949717999999997</v>
      </c>
      <c r="S2" s="1">
        <v>55.557551999999994</v>
      </c>
      <c r="V2" s="37">
        <v>36526</v>
      </c>
      <c r="W2">
        <f>(B3-B2)/B2</f>
        <v>5.1018954934685789E-3</v>
      </c>
      <c r="X2">
        <f>(C3-C2)/C2</f>
        <v>-5.0322089134904671E-2</v>
      </c>
      <c r="Y2">
        <f t="shared" ref="Y2:AI17" si="0">(D3-D2)/D2</f>
        <v>-7.5844687536055725E-3</v>
      </c>
      <c r="Z2">
        <f t="shared" si="0"/>
        <v>-9.2105184604642926E-2</v>
      </c>
      <c r="AA2">
        <f t="shared" si="0"/>
        <v>-8.4586184159694738E-2</v>
      </c>
      <c r="AB2">
        <f t="shared" si="0"/>
        <v>-0.11861847028722666</v>
      </c>
      <c r="AC2">
        <f t="shared" si="0"/>
        <v>-0.18168790347571287</v>
      </c>
      <c r="AD2">
        <f t="shared" si="0"/>
        <v>-0.12810235463076261</v>
      </c>
      <c r="AE2">
        <f t="shared" si="0"/>
        <v>-8.4577110934804939E-2</v>
      </c>
      <c r="AF2">
        <f t="shared" si="0"/>
        <v>-0.11226209121958794</v>
      </c>
      <c r="AG2">
        <f t="shared" si="0"/>
        <v>-0.184294984089446</v>
      </c>
      <c r="AH2">
        <f t="shared" si="0"/>
        <v>-7.5238738487526671E-2</v>
      </c>
      <c r="AI2">
        <f t="shared" si="0"/>
        <v>-0.17343801826481783</v>
      </c>
      <c r="AJ2">
        <f>(O3-O2)/O2</f>
        <v>4.9510806308575668E-3</v>
      </c>
      <c r="AK2">
        <f t="shared" ref="AK2:AK65" si="1">(P3-P2)/P2</f>
        <v>0.10481904323602347</v>
      </c>
      <c r="AL2">
        <f t="shared" ref="AL2:AL65" si="2">(Q3-Q2)/Q2</f>
        <v>6.6795740561471362E-2</v>
      </c>
      <c r="AM2">
        <f t="shared" ref="AM2:AM65" si="3">(R3-R2)/R2</f>
        <v>-8.684542538931414E-2</v>
      </c>
      <c r="AN2">
        <f t="shared" ref="AN2:AN65" si="4">(S3-S2)/S2</f>
        <v>-8.463205866233986E-2</v>
      </c>
    </row>
    <row r="3" spans="1:40">
      <c r="A3" s="37">
        <v>36557</v>
      </c>
      <c r="B3" s="1">
        <v>9.4923199999999994</v>
      </c>
      <c r="C3" s="1">
        <v>11.862233999999999</v>
      </c>
      <c r="D3" s="1">
        <v>25.287759999999999</v>
      </c>
      <c r="E3" s="1">
        <v>202.86802699999998</v>
      </c>
      <c r="F3" s="1">
        <v>4.8813269999999997</v>
      </c>
      <c r="G3" s="1">
        <v>9.5821050000000003</v>
      </c>
      <c r="H3" s="1">
        <v>10.837456999999999</v>
      </c>
      <c r="I3" s="1">
        <v>22.215917999999999</v>
      </c>
      <c r="J3" s="1">
        <v>11.734449</v>
      </c>
      <c r="K3" s="1">
        <v>11.74227</v>
      </c>
      <c r="L3" s="1">
        <v>27.62406</v>
      </c>
      <c r="M3" s="1">
        <v>30.660073999999998</v>
      </c>
      <c r="N3" s="1">
        <v>8.1537430000000004</v>
      </c>
      <c r="O3" s="1">
        <v>4.6132409999999995</v>
      </c>
      <c r="P3" s="1">
        <v>0.85943099999999994</v>
      </c>
      <c r="Q3" s="1">
        <v>3.4437499999999996</v>
      </c>
      <c r="R3" s="1">
        <v>27.348721999999999</v>
      </c>
      <c r="S3" s="1">
        <v>50.855601999999998</v>
      </c>
      <c r="V3" s="37">
        <v>36557</v>
      </c>
      <c r="W3">
        <f t="shared" ref="W3:W66" si="5">(B4-B3)/B3</f>
        <v>0.14256620088661154</v>
      </c>
      <c r="X3">
        <f t="shared" ref="X3:X66" si="6">(C4-C3)/C3</f>
        <v>0.13994547738646873</v>
      </c>
      <c r="Y3">
        <f t="shared" si="0"/>
        <v>9.497626519707561E-2</v>
      </c>
      <c r="Z3">
        <f t="shared" si="0"/>
        <v>0.16021869232257094</v>
      </c>
      <c r="AA3">
        <f t="shared" si="0"/>
        <v>0.17109998981834237</v>
      </c>
      <c r="AB3">
        <f t="shared" si="0"/>
        <v>0.15161814653460781</v>
      </c>
      <c r="AC3">
        <f t="shared" si="0"/>
        <v>6.2936720302558077E-2</v>
      </c>
      <c r="AD3">
        <f t="shared" si="0"/>
        <v>-0.3541961669105908</v>
      </c>
      <c r="AE3">
        <f t="shared" si="0"/>
        <v>0.14673939952357362</v>
      </c>
      <c r="AF3">
        <f t="shared" si="0"/>
        <v>0.14102026269196677</v>
      </c>
      <c r="AG3">
        <f t="shared" si="0"/>
        <v>0.10992080816505601</v>
      </c>
      <c r="AH3">
        <f t="shared" si="0"/>
        <v>1.8967207972166011E-2</v>
      </c>
      <c r="AI3">
        <f t="shared" si="0"/>
        <v>0.2392566211615941</v>
      </c>
      <c r="AJ3">
        <f t="shared" ref="AJ3:AJ66" si="7">(O4-O3)/O3</f>
        <v>5.1723723083186013E-2</v>
      </c>
      <c r="AK3">
        <f t="shared" si="1"/>
        <v>0.18484206410985871</v>
      </c>
      <c r="AL3">
        <f t="shared" si="2"/>
        <v>-2.7223230490018152E-2</v>
      </c>
      <c r="AM3">
        <f t="shared" si="3"/>
        <v>0.18881105303567744</v>
      </c>
      <c r="AN3">
        <f t="shared" si="4"/>
        <v>0.15328024236150029</v>
      </c>
    </row>
    <row r="4" spans="1:40">
      <c r="A4" s="37">
        <v>36586</v>
      </c>
      <c r="B4" s="1">
        <v>10.845604</v>
      </c>
      <c r="C4" s="1">
        <v>13.5223</v>
      </c>
      <c r="D4" s="1">
        <v>27.689496999999999</v>
      </c>
      <c r="E4" s="1">
        <v>235.37127699999999</v>
      </c>
      <c r="F4" s="1">
        <v>5.7165219999999994</v>
      </c>
      <c r="G4" s="1">
        <v>11.034925999999999</v>
      </c>
      <c r="H4" s="1">
        <v>11.519530999999999</v>
      </c>
      <c r="I4" s="1">
        <v>14.347125</v>
      </c>
      <c r="J4" s="1">
        <v>13.456354999999999</v>
      </c>
      <c r="K4" s="1">
        <v>13.398168</v>
      </c>
      <c r="L4" s="1">
        <v>30.660518999999997</v>
      </c>
      <c r="M4" s="1">
        <v>31.241609999999998</v>
      </c>
      <c r="N4" s="1">
        <v>10.10458</v>
      </c>
      <c r="O4" s="1">
        <v>4.8518549999999996</v>
      </c>
      <c r="P4" s="1">
        <v>1.0182899999999999</v>
      </c>
      <c r="Q4" s="1">
        <v>3.3499999999999996</v>
      </c>
      <c r="R4" s="1">
        <v>32.512462999999997</v>
      </c>
      <c r="S4" s="1">
        <v>58.650760999999996</v>
      </c>
      <c r="V4" s="37">
        <v>36586</v>
      </c>
      <c r="W4">
        <f t="shared" si="5"/>
        <v>0</v>
      </c>
      <c r="X4">
        <f t="shared" si="6"/>
        <v>-5.5285565325425438E-2</v>
      </c>
      <c r="Y4">
        <f t="shared" si="0"/>
        <v>-0.17275994576571765</v>
      </c>
      <c r="Z4">
        <f t="shared" si="0"/>
        <v>-1.4613142452381744E-2</v>
      </c>
      <c r="AA4">
        <f t="shared" si="0"/>
        <v>4.4484216102028462E-2</v>
      </c>
      <c r="AB4">
        <f t="shared" si="0"/>
        <v>-0.19526592203699406</v>
      </c>
      <c r="AC4">
        <f t="shared" si="0"/>
        <v>6.8877283285231086E-2</v>
      </c>
      <c r="AD4">
        <f t="shared" si="0"/>
        <v>5.286306489976203E-2</v>
      </c>
      <c r="AE4">
        <f t="shared" si="0"/>
        <v>0.12925491338479106</v>
      </c>
      <c r="AF4">
        <f t="shared" si="0"/>
        <v>0.15213676974344553</v>
      </c>
      <c r="AG4">
        <f t="shared" si="0"/>
        <v>3.7763548620948812E-3</v>
      </c>
      <c r="AH4">
        <f t="shared" si="0"/>
        <v>-4.075619022195074E-2</v>
      </c>
      <c r="AI4">
        <f t="shared" si="0"/>
        <v>7.6693934829552548E-3</v>
      </c>
      <c r="AJ4">
        <f t="shared" si="7"/>
        <v>-0.12609300978697827</v>
      </c>
      <c r="AK4">
        <f t="shared" si="1"/>
        <v>-8.6516611181490469E-2</v>
      </c>
      <c r="AL4">
        <f t="shared" si="2"/>
        <v>-0.17630597014925367</v>
      </c>
      <c r="AM4">
        <f t="shared" si="3"/>
        <v>-0.343529372105706</v>
      </c>
      <c r="AN4">
        <f t="shared" si="4"/>
        <v>-5.8077865349436736E-2</v>
      </c>
    </row>
    <row r="5" spans="1:40">
      <c r="A5" s="37">
        <v>36617</v>
      </c>
      <c r="B5" s="1">
        <v>10.845604</v>
      </c>
      <c r="C5" s="1">
        <v>12.774711999999999</v>
      </c>
      <c r="D5" s="1">
        <v>22.905860999999998</v>
      </c>
      <c r="E5" s="1">
        <v>231.93176299999999</v>
      </c>
      <c r="F5" s="1">
        <v>5.9708169999999994</v>
      </c>
      <c r="G5" s="1">
        <v>8.8801810000000003</v>
      </c>
      <c r="H5" s="1">
        <v>12.312965</v>
      </c>
      <c r="I5" s="1">
        <v>15.105557999999998</v>
      </c>
      <c r="J5" s="1">
        <v>15.195654999999999</v>
      </c>
      <c r="K5" s="1">
        <v>15.436522</v>
      </c>
      <c r="L5" s="1">
        <v>30.776304</v>
      </c>
      <c r="M5" s="1">
        <v>29.968321</v>
      </c>
      <c r="N5" s="1">
        <v>10.182076</v>
      </c>
      <c r="O5" s="1">
        <v>4.2400700000000002</v>
      </c>
      <c r="P5" s="1">
        <v>0.93019099999999999</v>
      </c>
      <c r="Q5" s="1">
        <v>2.7593749999999999</v>
      </c>
      <c r="R5" s="1">
        <v>21.343477</v>
      </c>
      <c r="S5" s="1">
        <v>55.244450000000001</v>
      </c>
      <c r="V5" s="37">
        <v>36617</v>
      </c>
      <c r="W5">
        <f t="shared" si="5"/>
        <v>-2.7272340019052918E-2</v>
      </c>
      <c r="X5">
        <f t="shared" si="6"/>
        <v>0.13137728662689227</v>
      </c>
      <c r="Y5">
        <f t="shared" si="0"/>
        <v>4.0929568200907158E-2</v>
      </c>
      <c r="Z5">
        <f t="shared" si="0"/>
        <v>5.6730315114277875E-2</v>
      </c>
      <c r="AA5">
        <f t="shared" si="0"/>
        <v>0.10902896538279444</v>
      </c>
      <c r="AB5">
        <f t="shared" si="0"/>
        <v>0.13235293289630007</v>
      </c>
      <c r="AC5">
        <f t="shared" si="0"/>
        <v>2.9412168393234205E-2</v>
      </c>
      <c r="AD5">
        <f t="shared" si="0"/>
        <v>0.11815670761715652</v>
      </c>
      <c r="AE5">
        <f t="shared" si="0"/>
        <v>-8.8982409774372967E-2</v>
      </c>
      <c r="AF5">
        <f t="shared" si="0"/>
        <v>5.6379539380697341E-2</v>
      </c>
      <c r="AG5">
        <f t="shared" si="0"/>
        <v>8.5479757413365817E-2</v>
      </c>
      <c r="AH5">
        <f t="shared" si="0"/>
        <v>-6.3733066660624754E-2</v>
      </c>
      <c r="AI5">
        <f t="shared" si="0"/>
        <v>0.10197841776077882</v>
      </c>
      <c r="AJ5">
        <f t="shared" si="7"/>
        <v>6.2162652975068643E-2</v>
      </c>
      <c r="AK5">
        <f t="shared" si="1"/>
        <v>-0.32292185153371733</v>
      </c>
      <c r="AL5">
        <f t="shared" si="2"/>
        <v>-0.1245753114382786</v>
      </c>
      <c r="AM5">
        <f t="shared" si="3"/>
        <v>-0.10304679973183385</v>
      </c>
      <c r="AN5">
        <f t="shared" si="4"/>
        <v>-3.7555863077648542E-2</v>
      </c>
    </row>
    <row r="6" spans="1:40">
      <c r="A6" s="37">
        <v>36647</v>
      </c>
      <c r="B6" s="1">
        <v>10.549818999999999</v>
      </c>
      <c r="C6" s="1">
        <v>14.453018999999999</v>
      </c>
      <c r="D6" s="1">
        <v>23.843387999999997</v>
      </c>
      <c r="E6" s="1">
        <v>245.089325</v>
      </c>
      <c r="F6" s="1">
        <v>6.6218089999999998</v>
      </c>
      <c r="G6" s="1">
        <v>10.055498999999999</v>
      </c>
      <c r="H6" s="1">
        <v>12.675115999999999</v>
      </c>
      <c r="I6" s="1">
        <v>16.890380999999998</v>
      </c>
      <c r="J6" s="1">
        <v>13.843508999999999</v>
      </c>
      <c r="K6" s="1">
        <v>16.306826000000001</v>
      </c>
      <c r="L6" s="1">
        <v>33.407055</v>
      </c>
      <c r="M6" s="1">
        <v>28.058347999999999</v>
      </c>
      <c r="N6" s="1">
        <v>11.220428</v>
      </c>
      <c r="O6" s="1">
        <v>4.5036439999999995</v>
      </c>
      <c r="P6" s="1">
        <v>0.62981199999999993</v>
      </c>
      <c r="Q6" s="1">
        <v>2.4156249999999999</v>
      </c>
      <c r="R6" s="1">
        <v>19.144099999999998</v>
      </c>
      <c r="S6" s="1">
        <v>53.169696999999999</v>
      </c>
      <c r="V6" s="37">
        <v>36647</v>
      </c>
      <c r="W6">
        <f t="shared" si="5"/>
        <v>-6.5420743237395856E-2</v>
      </c>
      <c r="X6">
        <f t="shared" si="6"/>
        <v>-0.21722748721218726</v>
      </c>
      <c r="Y6">
        <f t="shared" si="0"/>
        <v>-7.4894809412152319E-2</v>
      </c>
      <c r="Z6">
        <f t="shared" si="0"/>
        <v>-3.1155808193604601E-2</v>
      </c>
      <c r="AA6">
        <f t="shared" si="0"/>
        <v>6.3527202309821923E-2</v>
      </c>
      <c r="AB6">
        <f t="shared" si="0"/>
        <v>-0.12337667180912644</v>
      </c>
      <c r="AC6">
        <f t="shared" si="0"/>
        <v>-0.10977469555308206</v>
      </c>
      <c r="AD6">
        <f t="shared" si="0"/>
        <v>-0.14661670450181072</v>
      </c>
      <c r="AE6">
        <f t="shared" si="0"/>
        <v>-0.11627940574893256</v>
      </c>
      <c r="AF6">
        <f t="shared" si="0"/>
        <v>8.0760719468031331E-2</v>
      </c>
      <c r="AG6">
        <f t="shared" si="0"/>
        <v>-3.472239621241683E-2</v>
      </c>
      <c r="AH6">
        <f t="shared" si="0"/>
        <v>2.7415013884637851E-2</v>
      </c>
      <c r="AI6">
        <f t="shared" si="0"/>
        <v>-0.13906858098461128</v>
      </c>
      <c r="AJ6">
        <f t="shared" si="7"/>
        <v>-1.0178424404770917E-2</v>
      </c>
      <c r="AK6">
        <f t="shared" si="1"/>
        <v>0.24702450890106895</v>
      </c>
      <c r="AL6">
        <f t="shared" si="2"/>
        <v>-0.24838292367399745</v>
      </c>
      <c r="AM6">
        <f t="shared" si="3"/>
        <v>0.27872132928683002</v>
      </c>
      <c r="AN6">
        <f t="shared" si="4"/>
        <v>2.2198339779893776E-2</v>
      </c>
    </row>
    <row r="7" spans="1:40">
      <c r="A7" s="37">
        <v>36678</v>
      </c>
      <c r="B7" s="1">
        <v>9.8596419999999991</v>
      </c>
      <c r="C7" s="1">
        <v>11.313426</v>
      </c>
      <c r="D7" s="1">
        <v>22.057641999999998</v>
      </c>
      <c r="E7" s="1">
        <v>237.45336899999998</v>
      </c>
      <c r="F7" s="1">
        <v>7.0424739999999995</v>
      </c>
      <c r="G7" s="1">
        <v>8.8148850000000003</v>
      </c>
      <c r="H7" s="1">
        <v>11.283709</v>
      </c>
      <c r="I7" s="1">
        <v>14.413969</v>
      </c>
      <c r="J7" s="1">
        <v>12.233794</v>
      </c>
      <c r="K7" s="1">
        <v>17.623777</v>
      </c>
      <c r="L7" s="1">
        <v>32.247081999999999</v>
      </c>
      <c r="M7" s="1">
        <v>28.827567999999999</v>
      </c>
      <c r="N7" s="1">
        <v>9.6600190000000001</v>
      </c>
      <c r="O7" s="1">
        <v>4.4578039999999994</v>
      </c>
      <c r="P7" s="1">
        <v>0.78539099999999995</v>
      </c>
      <c r="Q7" s="1">
        <v>1.8156249999999998</v>
      </c>
      <c r="R7" s="1">
        <v>24.479969000000001</v>
      </c>
      <c r="S7" s="1">
        <v>54.349975999999998</v>
      </c>
      <c r="V7" s="37">
        <v>36678</v>
      </c>
      <c r="W7">
        <f t="shared" si="5"/>
        <v>-9.1250270547348425E-2</v>
      </c>
      <c r="X7">
        <f t="shared" si="6"/>
        <v>0.10174433456319942</v>
      </c>
      <c r="Y7">
        <f t="shared" si="0"/>
        <v>8.1411331274666654E-2</v>
      </c>
      <c r="Z7">
        <f t="shared" si="0"/>
        <v>0.17012450558239933</v>
      </c>
      <c r="AA7">
        <f t="shared" si="0"/>
        <v>7.3204388117017296E-3</v>
      </c>
      <c r="AB7">
        <f t="shared" si="0"/>
        <v>-0.28703721035498486</v>
      </c>
      <c r="AC7">
        <f t="shared" si="0"/>
        <v>4.812327223256109E-2</v>
      </c>
      <c r="AD7">
        <f t="shared" si="0"/>
        <v>4.4052404996847098E-3</v>
      </c>
      <c r="AE7">
        <f t="shared" si="0"/>
        <v>0.11173312220231928</v>
      </c>
      <c r="AF7">
        <f t="shared" si="0"/>
        <v>-9.635431723858065E-2</v>
      </c>
      <c r="AG7">
        <f t="shared" si="0"/>
        <v>8.7530090319489939E-2</v>
      </c>
      <c r="AH7">
        <f t="shared" si="0"/>
        <v>4.2721605929435261E-2</v>
      </c>
      <c r="AI7">
        <f t="shared" si="0"/>
        <v>7.0967355240191418E-2</v>
      </c>
      <c r="AJ7">
        <f t="shared" si="7"/>
        <v>-8.3909027853175458E-3</v>
      </c>
      <c r="AK7">
        <f t="shared" si="1"/>
        <v>-2.9833547876153381E-2</v>
      </c>
      <c r="AL7">
        <f t="shared" si="2"/>
        <v>-0.1703958691910499</v>
      </c>
      <c r="AM7">
        <f t="shared" si="3"/>
        <v>-0.12734378871149726</v>
      </c>
      <c r="AN7">
        <f t="shared" si="4"/>
        <v>2.4529247262225037E-2</v>
      </c>
    </row>
    <row r="8" spans="1:40">
      <c r="A8" s="37">
        <v>36708</v>
      </c>
      <c r="B8" s="1">
        <v>8.9599469999999997</v>
      </c>
      <c r="C8" s="1">
        <v>12.464502999999999</v>
      </c>
      <c r="D8" s="1">
        <v>23.853383999999998</v>
      </c>
      <c r="E8" s="1">
        <v>277.85000600000001</v>
      </c>
      <c r="F8" s="1">
        <v>7.0940279999999998</v>
      </c>
      <c r="G8" s="1">
        <v>6.2846849999999996</v>
      </c>
      <c r="H8" s="1">
        <v>11.826718</v>
      </c>
      <c r="I8" s="1">
        <v>14.477466</v>
      </c>
      <c r="J8" s="1">
        <v>13.600714</v>
      </c>
      <c r="K8" s="1">
        <v>15.925649999999999</v>
      </c>
      <c r="L8" s="1">
        <v>35.069671999999997</v>
      </c>
      <c r="M8" s="1">
        <v>30.059127999999998</v>
      </c>
      <c r="N8" s="1">
        <v>10.345564999999999</v>
      </c>
      <c r="O8" s="1">
        <v>4.4203989999999997</v>
      </c>
      <c r="P8" s="1">
        <v>0.76195999999999997</v>
      </c>
      <c r="Q8" s="1">
        <v>1.5062499999999999</v>
      </c>
      <c r="R8" s="1">
        <v>21.362596999999997</v>
      </c>
      <c r="S8" s="1">
        <v>55.683139999999995</v>
      </c>
      <c r="V8" s="37">
        <v>36708</v>
      </c>
      <c r="W8">
        <f t="shared" si="5"/>
        <v>0.13342534280615728</v>
      </c>
      <c r="X8">
        <f t="shared" si="6"/>
        <v>0.13093694951174548</v>
      </c>
      <c r="Y8">
        <f t="shared" si="0"/>
        <v>0.12955377735922091</v>
      </c>
      <c r="Z8">
        <f t="shared" si="0"/>
        <v>0.10431431842402036</v>
      </c>
      <c r="AA8">
        <f t="shared" si="0"/>
        <v>-4.2151229174736821E-2</v>
      </c>
      <c r="AB8">
        <f t="shared" si="0"/>
        <v>0.14870148623200694</v>
      </c>
      <c r="AC8">
        <f t="shared" si="0"/>
        <v>-0.14586684150243537</v>
      </c>
      <c r="AD8">
        <f t="shared" si="0"/>
        <v>9.1261412736179021E-2</v>
      </c>
      <c r="AE8">
        <f t="shared" si="0"/>
        <v>2.2076046889891232E-2</v>
      </c>
      <c r="AF8">
        <f t="shared" si="0"/>
        <v>-5.4039866504663912E-3</v>
      </c>
      <c r="AG8">
        <f t="shared" si="0"/>
        <v>4.2662332285286396E-2</v>
      </c>
      <c r="AH8">
        <f t="shared" si="0"/>
        <v>-4.817877617740602E-2</v>
      </c>
      <c r="AI8">
        <f t="shared" si="0"/>
        <v>4.103951789969916E-2</v>
      </c>
      <c r="AJ8">
        <f t="shared" si="7"/>
        <v>0.19633453903143133</v>
      </c>
      <c r="AK8">
        <f t="shared" si="1"/>
        <v>0.19926242847393569</v>
      </c>
      <c r="AL8">
        <f t="shared" si="2"/>
        <v>0.37759336099585056</v>
      </c>
      <c r="AM8">
        <f t="shared" si="3"/>
        <v>0</v>
      </c>
      <c r="AN8">
        <f t="shared" si="4"/>
        <v>0.17608541831513105</v>
      </c>
    </row>
    <row r="9" spans="1:40">
      <c r="A9" s="37">
        <v>36739</v>
      </c>
      <c r="B9" s="1">
        <v>10.155431</v>
      </c>
      <c r="C9" s="1">
        <v>14.096566999999999</v>
      </c>
      <c r="D9" s="1">
        <v>26.943680000000001</v>
      </c>
      <c r="E9" s="1">
        <v>306.83373999999998</v>
      </c>
      <c r="F9" s="1">
        <v>6.7950059999999999</v>
      </c>
      <c r="G9" s="1">
        <v>7.2192270000000001</v>
      </c>
      <c r="H9" s="1">
        <v>10.101592</v>
      </c>
      <c r="I9" s="1">
        <v>15.798699999999998</v>
      </c>
      <c r="J9" s="1">
        <v>13.900964</v>
      </c>
      <c r="K9" s="1">
        <v>15.839587999999999</v>
      </c>
      <c r="L9" s="1">
        <v>36.565826000000001</v>
      </c>
      <c r="M9" s="1">
        <v>28.610916</v>
      </c>
      <c r="N9" s="1">
        <v>10.770142</v>
      </c>
      <c r="O9" s="1">
        <v>5.2882759999999998</v>
      </c>
      <c r="P9" s="1">
        <v>0.91378999999999999</v>
      </c>
      <c r="Q9" s="1">
        <v>2.0749999999999997</v>
      </c>
      <c r="R9" s="1">
        <v>21.362596999999997</v>
      </c>
      <c r="S9" s="1">
        <v>65.488129000000001</v>
      </c>
      <c r="V9" s="37">
        <v>36739</v>
      </c>
      <c r="W9">
        <f t="shared" si="5"/>
        <v>8.7883419226618673E-2</v>
      </c>
      <c r="X9">
        <f t="shared" si="6"/>
        <v>-1.2753246943032275E-2</v>
      </c>
      <c r="Y9">
        <f t="shared" si="0"/>
        <v>-0.17337858080262236</v>
      </c>
      <c r="Z9">
        <f t="shared" si="0"/>
        <v>-7.1691812640943514E-2</v>
      </c>
      <c r="AA9">
        <f t="shared" si="0"/>
        <v>0.1101388284278188</v>
      </c>
      <c r="AB9">
        <f t="shared" si="0"/>
        <v>-5.483315595977252E-2</v>
      </c>
      <c r="AC9">
        <f t="shared" si="0"/>
        <v>9.48751444326793E-3</v>
      </c>
      <c r="AD9">
        <f t="shared" si="0"/>
        <v>8.3648338154405283E-2</v>
      </c>
      <c r="AE9">
        <f t="shared" si="0"/>
        <v>-0.13089847581793612</v>
      </c>
      <c r="AF9">
        <f t="shared" si="0"/>
        <v>4.3525627055451162E-2</v>
      </c>
      <c r="AG9">
        <f t="shared" si="0"/>
        <v>2.9388123216469775E-2</v>
      </c>
      <c r="AH9">
        <f t="shared" si="0"/>
        <v>5.7224662083520663E-3</v>
      </c>
      <c r="AI9">
        <f t="shared" si="0"/>
        <v>6.9001040097707092E-2</v>
      </c>
      <c r="AJ9">
        <f t="shared" si="7"/>
        <v>3.2822795179374101E-2</v>
      </c>
      <c r="AK9">
        <f t="shared" si="1"/>
        <v>-0.57743682903074012</v>
      </c>
      <c r="AL9">
        <f t="shared" si="2"/>
        <v>-7.3795180722891443E-2</v>
      </c>
      <c r="AM9">
        <f t="shared" si="3"/>
        <v>-0.13607877356858811</v>
      </c>
      <c r="AN9">
        <f t="shared" si="4"/>
        <v>-0.14592621817001369</v>
      </c>
    </row>
    <row r="10" spans="1:40">
      <c r="A10" s="37">
        <v>36770</v>
      </c>
      <c r="B10" s="1">
        <v>11.047924999999999</v>
      </c>
      <c r="C10" s="1">
        <v>13.916789999999999</v>
      </c>
      <c r="D10" s="1">
        <v>22.272223</v>
      </c>
      <c r="E10" s="1">
        <v>284.83627300000001</v>
      </c>
      <c r="F10" s="1">
        <v>7.5433999999999992</v>
      </c>
      <c r="G10" s="1">
        <v>6.8233739999999994</v>
      </c>
      <c r="H10" s="1">
        <v>10.197431</v>
      </c>
      <c r="I10" s="1">
        <v>17.120235000000001</v>
      </c>
      <c r="J10" s="1">
        <v>12.081348999999999</v>
      </c>
      <c r="K10" s="1">
        <v>16.529015999999999</v>
      </c>
      <c r="L10" s="1">
        <v>37.640426999999995</v>
      </c>
      <c r="M10" s="1">
        <v>28.774640999999999</v>
      </c>
      <c r="N10" s="1">
        <v>11.513292999999999</v>
      </c>
      <c r="O10" s="1">
        <v>5.4618519999999995</v>
      </c>
      <c r="P10" s="1">
        <v>0.38613399999999998</v>
      </c>
      <c r="Q10" s="1">
        <v>1.921875</v>
      </c>
      <c r="R10" s="1">
        <v>18.455600999999998</v>
      </c>
      <c r="S10" s="1">
        <v>55.931694</v>
      </c>
      <c r="V10" s="37">
        <v>36770</v>
      </c>
      <c r="W10">
        <f t="shared" si="5"/>
        <v>6.8400265208172661E-2</v>
      </c>
      <c r="X10">
        <f t="shared" si="6"/>
        <v>-8.2338599633967224E-2</v>
      </c>
      <c r="Y10">
        <f t="shared" si="0"/>
        <v>-1.4884773738122217E-2</v>
      </c>
      <c r="Z10">
        <f t="shared" si="0"/>
        <v>-2.6589447054027469E-2</v>
      </c>
      <c r="AA10">
        <f t="shared" si="0"/>
        <v>2.627926399236424E-2</v>
      </c>
      <c r="AB10">
        <f t="shared" si="0"/>
        <v>0.24641093980778436</v>
      </c>
      <c r="AC10">
        <f t="shared" si="0"/>
        <v>0.11483735462392428</v>
      </c>
      <c r="AD10">
        <f t="shared" si="0"/>
        <v>6.6232443655124956E-2</v>
      </c>
      <c r="AE10">
        <f t="shared" si="0"/>
        <v>0.15447099491952429</v>
      </c>
      <c r="AF10">
        <f t="shared" si="0"/>
        <v>-3.8608166390546143E-2</v>
      </c>
      <c r="AG10">
        <f t="shared" si="0"/>
        <v>-1.234595452384207E-2</v>
      </c>
      <c r="AH10">
        <f t="shared" si="0"/>
        <v>-6.5182950501450246E-2</v>
      </c>
      <c r="AI10">
        <f t="shared" si="0"/>
        <v>8.1628253532678458E-3</v>
      </c>
      <c r="AJ10">
        <f t="shared" si="7"/>
        <v>-5.7481784566846446E-2</v>
      </c>
      <c r="AK10">
        <f t="shared" si="1"/>
        <v>-0.24028964038390813</v>
      </c>
      <c r="AL10">
        <f t="shared" si="2"/>
        <v>-4.715447154471554E-2</v>
      </c>
      <c r="AM10">
        <f t="shared" si="3"/>
        <v>0.14196877143150216</v>
      </c>
      <c r="AN10">
        <f t="shared" si="4"/>
        <v>-0.12541672705282278</v>
      </c>
    </row>
    <row r="11" spans="1:40">
      <c r="A11" s="37">
        <v>36800</v>
      </c>
      <c r="B11" s="1">
        <v>11.803606</v>
      </c>
      <c r="C11" s="1">
        <v>12.770901</v>
      </c>
      <c r="D11" s="1">
        <v>21.940705999999999</v>
      </c>
      <c r="E11" s="1">
        <v>277.26263399999999</v>
      </c>
      <c r="F11" s="1">
        <v>7.7416349999999996</v>
      </c>
      <c r="G11" s="1">
        <v>8.5047280000000001</v>
      </c>
      <c r="H11" s="1">
        <v>11.368476999999999</v>
      </c>
      <c r="I11" s="1">
        <v>18.254149999999999</v>
      </c>
      <c r="J11" s="1">
        <v>13.947566999999999</v>
      </c>
      <c r="K11" s="1">
        <v>15.890860999999999</v>
      </c>
      <c r="L11" s="1">
        <v>37.175719999999998</v>
      </c>
      <c r="M11" s="1">
        <v>26.899024999999998</v>
      </c>
      <c r="N11" s="1">
        <v>11.607274</v>
      </c>
      <c r="O11" s="1">
        <v>5.1478950000000001</v>
      </c>
      <c r="P11" s="1">
        <v>0.29335</v>
      </c>
      <c r="Q11" s="1">
        <v>1.8312499999999998</v>
      </c>
      <c r="R11" s="1">
        <v>21.07572</v>
      </c>
      <c r="S11" s="1">
        <v>48.916923999999995</v>
      </c>
      <c r="V11" s="37">
        <v>36800</v>
      </c>
      <c r="W11">
        <f t="shared" si="5"/>
        <v>-4.3386232986766957E-2</v>
      </c>
      <c r="X11">
        <f t="shared" si="6"/>
        <v>-0.16905064098453199</v>
      </c>
      <c r="Y11">
        <f t="shared" si="0"/>
        <v>-0.18397489123640787</v>
      </c>
      <c r="Z11">
        <f t="shared" si="0"/>
        <v>-5.3443887429851081E-2</v>
      </c>
      <c r="AA11">
        <f t="shared" si="0"/>
        <v>4.0437194468609921E-3</v>
      </c>
      <c r="AB11">
        <f t="shared" si="0"/>
        <v>-6.3339121486307451E-2</v>
      </c>
      <c r="AC11">
        <f t="shared" si="0"/>
        <v>0.10526300048810415</v>
      </c>
      <c r="AD11">
        <f t="shared" si="0"/>
        <v>5.3145996937682613E-2</v>
      </c>
      <c r="AE11">
        <f t="shared" si="0"/>
        <v>1.173702911769486E-2</v>
      </c>
      <c r="AF11">
        <f t="shared" si="0"/>
        <v>2.6048871738290388E-2</v>
      </c>
      <c r="AG11">
        <f t="shared" si="0"/>
        <v>-8.3182087663668663E-2</v>
      </c>
      <c r="AH11">
        <f t="shared" si="0"/>
        <v>-3.9115321094351847E-2</v>
      </c>
      <c r="AI11">
        <f t="shared" si="0"/>
        <v>2.4292094767470775E-2</v>
      </c>
      <c r="AJ11">
        <f t="shared" si="7"/>
        <v>-5.8957301965172265E-2</v>
      </c>
      <c r="AK11">
        <f t="shared" si="1"/>
        <v>-0.15655019601159031</v>
      </c>
      <c r="AL11">
        <f t="shared" si="2"/>
        <v>-0.32593856655290093</v>
      </c>
      <c r="AM11">
        <f t="shared" si="3"/>
        <v>-0.16696891019618795</v>
      </c>
      <c r="AN11">
        <f t="shared" si="4"/>
        <v>-5.0761368396753596E-2</v>
      </c>
    </row>
    <row r="12" spans="1:40">
      <c r="A12" s="37">
        <v>36831</v>
      </c>
      <c r="B12" s="1">
        <v>11.291492</v>
      </c>
      <c r="C12" s="1">
        <v>10.611972</v>
      </c>
      <c r="D12" s="1">
        <v>17.904166999999998</v>
      </c>
      <c r="E12" s="1">
        <v>262.44464099999999</v>
      </c>
      <c r="F12" s="1">
        <v>7.7729399999999993</v>
      </c>
      <c r="G12" s="1">
        <v>7.9660459999999995</v>
      </c>
      <c r="H12" s="1">
        <v>12.565156999999999</v>
      </c>
      <c r="I12" s="1">
        <v>19.224284999999998</v>
      </c>
      <c r="J12" s="1">
        <v>14.111269999999999</v>
      </c>
      <c r="K12" s="1">
        <v>16.3048</v>
      </c>
      <c r="L12" s="1">
        <v>34.083365999999998</v>
      </c>
      <c r="M12" s="1">
        <v>25.846861000000001</v>
      </c>
      <c r="N12" s="1">
        <v>11.889239</v>
      </c>
      <c r="O12" s="1">
        <v>4.8443889999999996</v>
      </c>
      <c r="P12" s="1">
        <v>0.24742599999999998</v>
      </c>
      <c r="Q12" s="1">
        <v>1.234375</v>
      </c>
      <c r="R12" s="1">
        <v>17.556729999999998</v>
      </c>
      <c r="S12" s="1">
        <v>46.433833999999997</v>
      </c>
      <c r="V12" s="37">
        <v>36831</v>
      </c>
      <c r="W12">
        <f t="shared" si="5"/>
        <v>0.13938060621218168</v>
      </c>
      <c r="X12">
        <f t="shared" si="6"/>
        <v>0.16477512379414486</v>
      </c>
      <c r="Y12">
        <f t="shared" si="0"/>
        <v>0.23220370989613778</v>
      </c>
      <c r="Z12">
        <f t="shared" si="0"/>
        <v>2.7878485047823795E-2</v>
      </c>
      <c r="AA12">
        <f t="shared" si="0"/>
        <v>0.14387593368789672</v>
      </c>
      <c r="AB12">
        <f t="shared" si="0"/>
        <v>0.14754057408154564</v>
      </c>
      <c r="AC12">
        <f t="shared" si="0"/>
        <v>0.12596014518561124</v>
      </c>
      <c r="AD12">
        <f t="shared" si="0"/>
        <v>4.7579714928279504E-2</v>
      </c>
      <c r="AE12">
        <f t="shared" si="0"/>
        <v>0.16868899822624034</v>
      </c>
      <c r="AF12">
        <f t="shared" si="0"/>
        <v>4.0268877876453411E-2</v>
      </c>
      <c r="AG12">
        <f t="shared" si="0"/>
        <v>0</v>
      </c>
      <c r="AH12">
        <f t="shared" si="0"/>
        <v>0.13830089464248674</v>
      </c>
      <c r="AI12">
        <f t="shared" si="0"/>
        <v>0.18002758629042609</v>
      </c>
      <c r="AJ12">
        <f t="shared" si="7"/>
        <v>0.11807206233851164</v>
      </c>
      <c r="AK12">
        <f t="shared" si="1"/>
        <v>-9.8486011979339289E-2</v>
      </c>
      <c r="AL12">
        <f t="shared" si="2"/>
        <v>-0.36962025316455699</v>
      </c>
      <c r="AM12">
        <f t="shared" si="3"/>
        <v>-0.24400859385546164</v>
      </c>
      <c r="AN12">
        <f t="shared" si="4"/>
        <v>-8.9752248328234113E-2</v>
      </c>
    </row>
    <row r="13" spans="1:40">
      <c r="A13" s="37">
        <v>36861</v>
      </c>
      <c r="B13" s="1">
        <v>12.865307</v>
      </c>
      <c r="C13" s="1">
        <v>12.360560999999999</v>
      </c>
      <c r="D13" s="1">
        <v>22.061581</v>
      </c>
      <c r="E13" s="1">
        <v>269.76119999999997</v>
      </c>
      <c r="F13" s="1">
        <v>8.891278999999999</v>
      </c>
      <c r="G13" s="1">
        <v>9.1413609999999998</v>
      </c>
      <c r="H13" s="1">
        <v>14.147865999999999</v>
      </c>
      <c r="I13" s="1">
        <v>20.138970999999998</v>
      </c>
      <c r="J13" s="1">
        <v>16.491685999999998</v>
      </c>
      <c r="K13" s="1">
        <v>16.961375999999998</v>
      </c>
      <c r="L13" s="1">
        <v>34.083365999999998</v>
      </c>
      <c r="M13" s="1">
        <v>29.421505</v>
      </c>
      <c r="N13" s="1">
        <v>14.029629999999999</v>
      </c>
      <c r="O13" s="1">
        <v>5.4163759999999996</v>
      </c>
      <c r="P13" s="1">
        <v>0.22305799999999998</v>
      </c>
      <c r="Q13" s="1">
        <v>0.77812499999999996</v>
      </c>
      <c r="R13" s="1">
        <v>13.272736999999999</v>
      </c>
      <c r="S13" s="1">
        <v>42.266292999999997</v>
      </c>
      <c r="V13" s="37">
        <v>36861</v>
      </c>
      <c r="W13">
        <f t="shared" si="5"/>
        <v>1.7475603186150143E-2</v>
      </c>
      <c r="X13">
        <f t="shared" si="6"/>
        <v>0.17318825577576952</v>
      </c>
      <c r="Y13">
        <f t="shared" si="0"/>
        <v>0.21023379965379627</v>
      </c>
      <c r="Z13">
        <f t="shared" si="0"/>
        <v>9.6107205187402789E-2</v>
      </c>
      <c r="AA13">
        <f t="shared" si="0"/>
        <v>3.6488788620849699E-2</v>
      </c>
      <c r="AB13">
        <f t="shared" si="0"/>
        <v>0.27314324420619635</v>
      </c>
      <c r="AC13">
        <f t="shared" si="0"/>
        <v>-5.8648138171509413E-2</v>
      </c>
      <c r="AD13">
        <f t="shared" si="0"/>
        <v>-8.411189429688333E-2</v>
      </c>
      <c r="AE13">
        <f t="shared" si="0"/>
        <v>0.10044073116599483</v>
      </c>
      <c r="AF13">
        <f t="shared" si="0"/>
        <v>-1.8478512592374475E-2</v>
      </c>
      <c r="AG13">
        <f t="shared" si="0"/>
        <v>-0.14266205397671111</v>
      </c>
      <c r="AH13">
        <f t="shared" si="0"/>
        <v>8.805005046478763E-2</v>
      </c>
      <c r="AI13">
        <f t="shared" si="0"/>
        <v>-7.5016589888685606E-2</v>
      </c>
      <c r="AJ13">
        <f t="shared" si="7"/>
        <v>2.5588326955144867E-2</v>
      </c>
      <c r="AK13">
        <f t="shared" si="1"/>
        <v>0.45378332092998253</v>
      </c>
      <c r="AL13">
        <f t="shared" si="2"/>
        <v>0.11244979919678719</v>
      </c>
      <c r="AM13">
        <f t="shared" si="3"/>
        <v>0.40778092717425191</v>
      </c>
      <c r="AN13">
        <f t="shared" si="4"/>
        <v>0.31764701957656893</v>
      </c>
    </row>
    <row r="14" spans="1:40">
      <c r="A14" s="37">
        <v>36892</v>
      </c>
      <c r="B14" s="1">
        <v>13.090135999999999</v>
      </c>
      <c r="C14" s="1">
        <v>14.501265</v>
      </c>
      <c r="D14" s="1">
        <v>26.699670999999999</v>
      </c>
      <c r="E14" s="1">
        <v>295.68719499999997</v>
      </c>
      <c r="F14" s="1">
        <v>9.2157109999999989</v>
      </c>
      <c r="G14" s="1">
        <v>11.638261999999999</v>
      </c>
      <c r="H14" s="1">
        <v>13.318119999999999</v>
      </c>
      <c r="I14" s="1">
        <v>18.445043999999999</v>
      </c>
      <c r="J14" s="1">
        <v>18.148122999999998</v>
      </c>
      <c r="K14" s="1">
        <v>16.647955</v>
      </c>
      <c r="L14" s="1">
        <v>29.220962999999998</v>
      </c>
      <c r="M14" s="1">
        <v>32.012070000000001</v>
      </c>
      <c r="N14" s="1">
        <v>12.977174999999999</v>
      </c>
      <c r="O14" s="1">
        <v>5.5549719999999994</v>
      </c>
      <c r="P14" s="1">
        <v>0.32427800000000001</v>
      </c>
      <c r="Q14" s="1">
        <v>0.86562499999999998</v>
      </c>
      <c r="R14" s="1">
        <v>18.685105999999998</v>
      </c>
      <c r="S14" s="1">
        <v>55.692054999999996</v>
      </c>
      <c r="V14" s="37">
        <v>36892</v>
      </c>
      <c r="W14">
        <f t="shared" si="5"/>
        <v>-5.9541932948595853E-2</v>
      </c>
      <c r="X14">
        <f t="shared" si="6"/>
        <v>-5.7971011494514543E-2</v>
      </c>
      <c r="Y14">
        <f t="shared" si="0"/>
        <v>-0.14526561020171366</v>
      </c>
      <c r="Z14">
        <f t="shared" si="0"/>
        <v>-0.12131536166116358</v>
      </c>
      <c r="AA14">
        <f t="shared" si="0"/>
        <v>-7.7078154903077914E-2</v>
      </c>
      <c r="AB14">
        <f t="shared" si="0"/>
        <v>8.5053936747600242E-2</v>
      </c>
      <c r="AC14">
        <f t="shared" si="0"/>
        <v>-5.1723741789381654E-2</v>
      </c>
      <c r="AD14">
        <f t="shared" si="0"/>
        <v>-1.3853802680004496E-2</v>
      </c>
      <c r="AE14">
        <f t="shared" si="0"/>
        <v>1.3986129584861177E-2</v>
      </c>
      <c r="AF14">
        <f t="shared" si="0"/>
        <v>-3.3217293054912159E-3</v>
      </c>
      <c r="AG14">
        <f t="shared" si="0"/>
        <v>-6.6930203498084567E-2</v>
      </c>
      <c r="AH14">
        <f t="shared" si="0"/>
        <v>1.3993690504862648E-2</v>
      </c>
      <c r="AI14">
        <f t="shared" si="0"/>
        <v>-3.182711183289124E-2</v>
      </c>
      <c r="AJ14">
        <f t="shared" si="7"/>
        <v>-9.5286888934813671E-2</v>
      </c>
      <c r="AK14">
        <f t="shared" si="1"/>
        <v>-0.15606979196861964</v>
      </c>
      <c r="AL14">
        <f t="shared" si="2"/>
        <v>-0.41155234657039708</v>
      </c>
      <c r="AM14">
        <f t="shared" si="3"/>
        <v>-3.3777169902059902E-2</v>
      </c>
      <c r="AN14">
        <f t="shared" si="4"/>
        <v>-0.10803612831309599</v>
      </c>
    </row>
    <row r="15" spans="1:40">
      <c r="A15" s="37">
        <v>36923</v>
      </c>
      <c r="B15" s="1">
        <v>12.310723999999999</v>
      </c>
      <c r="C15" s="1">
        <v>13.660611999999999</v>
      </c>
      <c r="D15" s="1">
        <v>22.821127000000001</v>
      </c>
      <c r="E15" s="1">
        <v>259.81579599999998</v>
      </c>
      <c r="F15" s="1">
        <v>8.5053809999999999</v>
      </c>
      <c r="G15" s="1">
        <v>12.628141999999999</v>
      </c>
      <c r="H15" s="1">
        <v>12.629256999999999</v>
      </c>
      <c r="I15" s="1">
        <v>18.189509999999999</v>
      </c>
      <c r="J15" s="1">
        <v>18.401944999999998</v>
      </c>
      <c r="K15" s="1">
        <v>16.592655000000001</v>
      </c>
      <c r="L15" s="1">
        <v>27.265197999999998</v>
      </c>
      <c r="M15" s="1">
        <v>32.460037</v>
      </c>
      <c r="N15" s="1">
        <v>12.564148999999999</v>
      </c>
      <c r="O15" s="1">
        <v>5.0256559999999997</v>
      </c>
      <c r="P15" s="1">
        <v>0.27366799999999997</v>
      </c>
      <c r="Q15" s="1">
        <v>0.50937500000000002</v>
      </c>
      <c r="R15" s="1">
        <v>18.053975999999999</v>
      </c>
      <c r="S15" s="1">
        <v>49.675300999999997</v>
      </c>
      <c r="V15" s="37">
        <v>36923</v>
      </c>
      <c r="W15">
        <f t="shared" si="5"/>
        <v>4.0556753607667605E-2</v>
      </c>
      <c r="X15">
        <f t="shared" si="6"/>
        <v>9.17688753622459E-2</v>
      </c>
      <c r="Y15">
        <f t="shared" si="0"/>
        <v>-3.771974101016138E-2</v>
      </c>
      <c r="Z15">
        <f t="shared" si="0"/>
        <v>-8.3106482871426343E-2</v>
      </c>
      <c r="AA15">
        <f t="shared" si="0"/>
        <v>7.4163638289689911E-3</v>
      </c>
      <c r="AB15">
        <f t="shared" si="0"/>
        <v>-0.14064143402885385</v>
      </c>
      <c r="AC15">
        <f t="shared" si="0"/>
        <v>-0.10712546272516266</v>
      </c>
      <c r="AD15">
        <f t="shared" si="0"/>
        <v>-0.11205705926107964</v>
      </c>
      <c r="AE15">
        <f t="shared" si="0"/>
        <v>-5.3160684916730212E-2</v>
      </c>
      <c r="AF15">
        <f t="shared" si="0"/>
        <v>-8.7772210053183294E-2</v>
      </c>
      <c r="AG15">
        <f t="shared" si="0"/>
        <v>-5.8796418789990111E-2</v>
      </c>
      <c r="AH15">
        <f t="shared" si="0"/>
        <v>-7.062545862162764E-2</v>
      </c>
      <c r="AI15">
        <f t="shared" si="0"/>
        <v>-3.4253016260790102E-3</v>
      </c>
      <c r="AJ15">
        <f t="shared" si="7"/>
        <v>-5.6596193611341473E-2</v>
      </c>
      <c r="AK15">
        <f t="shared" si="1"/>
        <v>0.20931566715874722</v>
      </c>
      <c r="AL15">
        <f t="shared" si="2"/>
        <v>4.1717791411041618E-3</v>
      </c>
      <c r="AM15">
        <f t="shared" si="3"/>
        <v>-7.3093483673623921E-2</v>
      </c>
      <c r="AN15">
        <f t="shared" si="4"/>
        <v>-3.6139690426838136E-2</v>
      </c>
    </row>
    <row r="16" spans="1:40">
      <c r="A16" s="37">
        <v>36951</v>
      </c>
      <c r="B16" s="1">
        <v>12.810006999999999</v>
      </c>
      <c r="C16" s="1">
        <v>14.914230999999999</v>
      </c>
      <c r="D16" s="1">
        <v>21.960319999999999</v>
      </c>
      <c r="E16" s="1">
        <v>238.22341899999998</v>
      </c>
      <c r="F16" s="1">
        <v>8.56846</v>
      </c>
      <c r="G16" s="1">
        <v>10.852102</v>
      </c>
      <c r="H16" s="1">
        <v>11.276342</v>
      </c>
      <c r="I16" s="1">
        <v>16.151246999999998</v>
      </c>
      <c r="J16" s="1">
        <v>17.423684999999999</v>
      </c>
      <c r="K16" s="1">
        <v>15.136280999999999</v>
      </c>
      <c r="L16" s="1">
        <v>25.662101999999997</v>
      </c>
      <c r="M16" s="1">
        <v>30.167531999999998</v>
      </c>
      <c r="N16" s="1">
        <v>12.521113</v>
      </c>
      <c r="O16" s="1">
        <v>4.7412229999999997</v>
      </c>
      <c r="P16" s="1">
        <v>0.330951</v>
      </c>
      <c r="Q16" s="1">
        <v>0.51149999999999995</v>
      </c>
      <c r="R16" s="1">
        <v>16.734348000000001</v>
      </c>
      <c r="S16" s="1">
        <v>47.880050999999995</v>
      </c>
      <c r="V16" s="37">
        <v>36951</v>
      </c>
      <c r="W16">
        <f t="shared" si="5"/>
        <v>2.6232304166578523E-2</v>
      </c>
      <c r="X16">
        <f t="shared" si="6"/>
        <v>2.283121402638863E-2</v>
      </c>
      <c r="Y16">
        <f t="shared" si="0"/>
        <v>6.8596996765074511E-2</v>
      </c>
      <c r="Z16">
        <f t="shared" si="0"/>
        <v>9.2707568771817669E-2</v>
      </c>
      <c r="AA16">
        <f t="shared" si="0"/>
        <v>-9.1523681034865065E-2</v>
      </c>
      <c r="AB16">
        <f t="shared" si="0"/>
        <v>3.441618960087163E-2</v>
      </c>
      <c r="AC16">
        <f t="shared" si="0"/>
        <v>0.13689776347684385</v>
      </c>
      <c r="AD16">
        <f t="shared" si="0"/>
        <v>-4.0735430521246958E-2</v>
      </c>
      <c r="AE16">
        <f t="shared" si="0"/>
        <v>0.10747095117938604</v>
      </c>
      <c r="AF16">
        <f t="shared" si="0"/>
        <v>5.7387280270497186E-2</v>
      </c>
      <c r="AG16">
        <f t="shared" si="0"/>
        <v>2.7603350653037019E-2</v>
      </c>
      <c r="AH16">
        <f t="shared" si="0"/>
        <v>1.4647867117535292E-3</v>
      </c>
      <c r="AI16">
        <f t="shared" si="0"/>
        <v>-5.0535283884108453E-2</v>
      </c>
      <c r="AJ16">
        <f t="shared" si="7"/>
        <v>2.2101892275474152E-2</v>
      </c>
      <c r="AK16">
        <f t="shared" si="1"/>
        <v>0.15496251710978354</v>
      </c>
      <c r="AL16">
        <f t="shared" si="2"/>
        <v>0.54252199413489732</v>
      </c>
      <c r="AM16">
        <f t="shared" si="3"/>
        <v>0.23885734896871974</v>
      </c>
      <c r="AN16">
        <f t="shared" si="4"/>
        <v>0.19713032469409869</v>
      </c>
    </row>
    <row r="17" spans="1:40">
      <c r="A17" s="37">
        <v>36982</v>
      </c>
      <c r="B17" s="1">
        <v>13.146042999999999</v>
      </c>
      <c r="C17" s="1">
        <v>15.254740999999999</v>
      </c>
      <c r="D17" s="1">
        <v>23.466732</v>
      </c>
      <c r="E17" s="1">
        <v>260.30853300000001</v>
      </c>
      <c r="F17" s="1">
        <v>7.784243</v>
      </c>
      <c r="G17" s="1">
        <v>11.225589999999999</v>
      </c>
      <c r="H17" s="1">
        <v>12.820048</v>
      </c>
      <c r="I17" s="1">
        <v>15.493319</v>
      </c>
      <c r="J17" s="1">
        <v>19.296225</v>
      </c>
      <c r="K17" s="1">
        <v>16.004911</v>
      </c>
      <c r="L17" s="1">
        <v>26.370462</v>
      </c>
      <c r="M17" s="1">
        <v>30.211720999999997</v>
      </c>
      <c r="N17" s="1">
        <v>11.888354999999999</v>
      </c>
      <c r="O17" s="1">
        <v>4.8460130000000001</v>
      </c>
      <c r="P17" s="1">
        <v>0.38223599999999996</v>
      </c>
      <c r="Q17" s="1">
        <v>0.78899999999999992</v>
      </c>
      <c r="R17" s="1">
        <v>20.731469999999998</v>
      </c>
      <c r="S17" s="1">
        <v>57.318660999999999</v>
      </c>
      <c r="V17" s="37">
        <v>36982</v>
      </c>
      <c r="W17">
        <f t="shared" si="5"/>
        <v>-6.2742073793612227E-2</v>
      </c>
      <c r="X17">
        <f t="shared" si="6"/>
        <v>5.803605580717508E-2</v>
      </c>
      <c r="Y17">
        <f t="shared" si="0"/>
        <v>3.28255762242479E-2</v>
      </c>
      <c r="Z17">
        <f t="shared" si="0"/>
        <v>4.2726490260693646E-2</v>
      </c>
      <c r="AA17">
        <f t="shared" si="0"/>
        <v>0.10862841768942717</v>
      </c>
      <c r="AB17">
        <f t="shared" si="0"/>
        <v>4.2345569364282964E-2</v>
      </c>
      <c r="AC17">
        <f t="shared" si="0"/>
        <v>-9.0333515131924627E-2</v>
      </c>
      <c r="AD17">
        <f t="shared" si="0"/>
        <v>7.6338517266700531E-2</v>
      </c>
      <c r="AE17">
        <f t="shared" si="0"/>
        <v>4.8276126548068253E-2</v>
      </c>
      <c r="AF17">
        <f t="shared" si="0"/>
        <v>-9.4688436568000928E-3</v>
      </c>
      <c r="AG17">
        <f t="shared" si="0"/>
        <v>-5.4460555146891429E-3</v>
      </c>
      <c r="AH17">
        <f t="shared" si="0"/>
        <v>2.5834178728183079E-2</v>
      </c>
      <c r="AI17">
        <f t="shared" si="0"/>
        <v>2.3414509408577252E-3</v>
      </c>
      <c r="AJ17">
        <f t="shared" si="7"/>
        <v>2.0432466854711239E-2</v>
      </c>
      <c r="AK17">
        <f t="shared" si="1"/>
        <v>-0.21733954938833591</v>
      </c>
      <c r="AL17">
        <f t="shared" si="2"/>
        <v>5.7667934093789591E-2</v>
      </c>
      <c r="AM17">
        <f t="shared" si="3"/>
        <v>2.11072345569321E-2</v>
      </c>
      <c r="AN17">
        <f t="shared" si="4"/>
        <v>-2.900849341194487E-2</v>
      </c>
    </row>
    <row r="18" spans="1:40">
      <c r="A18" s="37">
        <v>37012</v>
      </c>
      <c r="B18" s="1">
        <v>12.321232999999999</v>
      </c>
      <c r="C18" s="1">
        <v>16.140066000000001</v>
      </c>
      <c r="D18" s="1">
        <v>24.237040999999998</v>
      </c>
      <c r="E18" s="1">
        <v>271.43060299999996</v>
      </c>
      <c r="F18" s="1">
        <v>8.6298329999999996</v>
      </c>
      <c r="G18" s="1">
        <v>11.700944</v>
      </c>
      <c r="H18" s="1">
        <v>11.661968</v>
      </c>
      <c r="I18" s="1">
        <v>16.676055999999999</v>
      </c>
      <c r="J18" s="1">
        <v>20.227771999999998</v>
      </c>
      <c r="K18" s="1">
        <v>15.853363</v>
      </c>
      <c r="L18" s="1">
        <v>26.226846999999999</v>
      </c>
      <c r="M18" s="1">
        <v>30.992215999999999</v>
      </c>
      <c r="N18" s="1">
        <v>11.916191</v>
      </c>
      <c r="O18" s="1">
        <v>4.9450289999999999</v>
      </c>
      <c r="P18" s="1">
        <v>0.29916100000000001</v>
      </c>
      <c r="Q18" s="1">
        <v>0.83449999999999991</v>
      </c>
      <c r="R18" s="1">
        <v>21.169053999999999</v>
      </c>
      <c r="S18" s="1">
        <v>55.655932999999997</v>
      </c>
      <c r="V18" s="37">
        <v>37012</v>
      </c>
      <c r="W18">
        <f t="shared" si="5"/>
        <v>3.7189784496405476E-2</v>
      </c>
      <c r="X18">
        <f t="shared" si="6"/>
        <v>2.2774751974372304E-2</v>
      </c>
      <c r="Y18">
        <f t="shared" ref="Y18:Y81" si="8">(D19-D18)/D18</f>
        <v>-9.5217976484835709E-2</v>
      </c>
      <c r="Z18">
        <f t="shared" ref="Z18:Z81" si="9">(E19-E18)/E18</f>
        <v>3.3884410594630016E-2</v>
      </c>
      <c r="AA18">
        <f t="shared" ref="AA18:AA81" si="10">(F19-F18)/F18</f>
        <v>3.272821154244817E-2</v>
      </c>
      <c r="AB18">
        <f t="shared" ref="AB18:AB81" si="11">(G19-G18)/G18</f>
        <v>-5.1339276557515405E-2</v>
      </c>
      <c r="AC18">
        <f t="shared" ref="AC18:AC81" si="12">(H19-H18)/H18</f>
        <v>1.3115196337359145E-2</v>
      </c>
      <c r="AD18">
        <f t="shared" ref="AD18:AD81" si="13">(I19-I18)/I18</f>
        <v>-6.849221422619416E-3</v>
      </c>
      <c r="AE18">
        <f t="shared" ref="AE18:AE81" si="14">(J19-J18)/J18</f>
        <v>0.10887521374079166</v>
      </c>
      <c r="AF18">
        <f t="shared" ref="AF18:AF81" si="15">(K19-K18)/K18</f>
        <v>-6.3819771237181688E-2</v>
      </c>
      <c r="AG18">
        <f t="shared" ref="AG18:AG81" si="16">(L19-L18)/L18</f>
        <v>-7.8822246532341461E-2</v>
      </c>
      <c r="AH18">
        <f t="shared" ref="AH18:AH81" si="17">(M19-M18)/M18</f>
        <v>7.8800431695486776E-4</v>
      </c>
      <c r="AI18">
        <f t="shared" ref="AI18:AI81" si="18">(N19-N18)/N18</f>
        <v>-8.7806581817965572E-3</v>
      </c>
      <c r="AJ18">
        <f t="shared" si="7"/>
        <v>-1.4632674550543689E-2</v>
      </c>
      <c r="AK18">
        <f t="shared" si="1"/>
        <v>0.16541260391561735</v>
      </c>
      <c r="AL18">
        <f t="shared" si="2"/>
        <v>-0.15218693828639893</v>
      </c>
      <c r="AM18">
        <f t="shared" si="3"/>
        <v>5.5218291757392603E-2</v>
      </c>
      <c r="AN18">
        <f t="shared" si="4"/>
        <v>1.6434492257995165E-2</v>
      </c>
    </row>
    <row r="19" spans="1:40">
      <c r="A19" s="37">
        <v>37043</v>
      </c>
      <c r="B19" s="1">
        <v>12.779456999999999</v>
      </c>
      <c r="C19" s="1">
        <v>16.507652</v>
      </c>
      <c r="D19" s="1">
        <v>21.929238999999999</v>
      </c>
      <c r="E19" s="1">
        <v>280.62786899999998</v>
      </c>
      <c r="F19" s="1">
        <v>8.9122719999999997</v>
      </c>
      <c r="G19" s="1">
        <v>11.100225999999999</v>
      </c>
      <c r="H19" s="1">
        <v>11.814916999999999</v>
      </c>
      <c r="I19" s="1">
        <v>16.561837999999998</v>
      </c>
      <c r="J19" s="1">
        <v>22.430074999999999</v>
      </c>
      <c r="K19" s="1">
        <v>14.841604999999999</v>
      </c>
      <c r="L19" s="1">
        <v>24.159587999999999</v>
      </c>
      <c r="M19" s="1">
        <v>31.016637999999997</v>
      </c>
      <c r="N19" s="1">
        <v>11.811558999999999</v>
      </c>
      <c r="O19" s="1">
        <v>4.8726699999999994</v>
      </c>
      <c r="P19" s="1">
        <v>0.34864600000000001</v>
      </c>
      <c r="Q19" s="1">
        <v>0.70750000000000002</v>
      </c>
      <c r="R19" s="1">
        <v>22.337972999999998</v>
      </c>
      <c r="S19" s="1">
        <v>56.570609999999995</v>
      </c>
      <c r="V19" s="37">
        <v>37043</v>
      </c>
      <c r="W19">
        <f t="shared" si="5"/>
        <v>-5.0996298199524427E-2</v>
      </c>
      <c r="X19">
        <f t="shared" si="6"/>
        <v>5.9803598961257337E-2</v>
      </c>
      <c r="Y19">
        <f t="shared" si="8"/>
        <v>-2.6310032919974958E-2</v>
      </c>
      <c r="Z19">
        <f t="shared" si="9"/>
        <v>-4.9772643927962733E-2</v>
      </c>
      <c r="AA19">
        <f t="shared" si="10"/>
        <v>3.0596126330076148E-2</v>
      </c>
      <c r="AB19">
        <f t="shared" si="11"/>
        <v>-9.1764978478816484E-2</v>
      </c>
      <c r="AC19">
        <f t="shared" si="12"/>
        <v>0.1147748223707369</v>
      </c>
      <c r="AD19">
        <f t="shared" si="13"/>
        <v>0.11316612322859354</v>
      </c>
      <c r="AE19">
        <f t="shared" si="14"/>
        <v>4.0830625844987159E-2</v>
      </c>
      <c r="AF19">
        <f t="shared" si="15"/>
        <v>2.9214495332546622E-2</v>
      </c>
      <c r="AG19">
        <f t="shared" si="16"/>
        <v>3.9432791651910659E-2</v>
      </c>
      <c r="AH19">
        <f t="shared" si="17"/>
        <v>0.10238092213604845</v>
      </c>
      <c r="AI19">
        <f t="shared" si="18"/>
        <v>-7.9688041180676489E-3</v>
      </c>
      <c r="AJ19">
        <f t="shared" si="7"/>
        <v>1.0780537159298696E-2</v>
      </c>
      <c r="AK19">
        <f t="shared" si="1"/>
        <v>-0.19182781388571804</v>
      </c>
      <c r="AL19">
        <f t="shared" si="2"/>
        <v>-0.11731448763250893</v>
      </c>
      <c r="AM19">
        <f t="shared" si="3"/>
        <v>-9.3287739223250052E-2</v>
      </c>
      <c r="AN19">
        <f t="shared" si="4"/>
        <v>-7.303971090288755E-2</v>
      </c>
    </row>
    <row r="20" spans="1:40">
      <c r="A20" s="37">
        <v>37073</v>
      </c>
      <c r="B20" s="1">
        <v>12.127751999999999</v>
      </c>
      <c r="C20" s="1">
        <v>17.494868999999998</v>
      </c>
      <c r="D20" s="1">
        <v>21.35228</v>
      </c>
      <c r="E20" s="1">
        <v>266.66027800000001</v>
      </c>
      <c r="F20" s="1">
        <v>9.1849530000000001</v>
      </c>
      <c r="G20" s="1">
        <v>10.081614</v>
      </c>
      <c r="H20" s="1">
        <v>13.170971999999999</v>
      </c>
      <c r="I20" s="1">
        <v>18.436077000000001</v>
      </c>
      <c r="J20" s="1">
        <v>23.345908999999999</v>
      </c>
      <c r="K20" s="1">
        <v>15.275195</v>
      </c>
      <c r="L20" s="1">
        <v>25.112268</v>
      </c>
      <c r="M20" s="1">
        <v>34.192149999999998</v>
      </c>
      <c r="N20" s="1">
        <v>11.717435</v>
      </c>
      <c r="O20" s="1">
        <v>4.9251999999999994</v>
      </c>
      <c r="P20" s="1">
        <v>0.28176599999999996</v>
      </c>
      <c r="Q20" s="1">
        <v>0.62449999999999994</v>
      </c>
      <c r="R20" s="1">
        <v>20.254113999999998</v>
      </c>
      <c r="S20" s="1">
        <v>52.438708999999996</v>
      </c>
      <c r="V20" s="37">
        <v>37073</v>
      </c>
      <c r="W20">
        <f t="shared" si="5"/>
        <v>4.9538199659755609E-2</v>
      </c>
      <c r="X20">
        <f t="shared" si="6"/>
        <v>-3.3323599050670075E-2</v>
      </c>
      <c r="Y20">
        <f t="shared" si="8"/>
        <v>-8.3263473502595595E-2</v>
      </c>
      <c r="Z20">
        <f t="shared" si="9"/>
        <v>-8.7831101713619394E-2</v>
      </c>
      <c r="AA20">
        <f t="shared" si="10"/>
        <v>1.1649814647935471E-2</v>
      </c>
      <c r="AB20">
        <f t="shared" si="11"/>
        <v>-5.9326314219132009E-2</v>
      </c>
      <c r="AC20">
        <f t="shared" si="12"/>
        <v>2.908259162649501E-2</v>
      </c>
      <c r="AD20">
        <f t="shared" si="13"/>
        <v>4.9776262054015051E-2</v>
      </c>
      <c r="AE20">
        <f t="shared" si="14"/>
        <v>-3.8999252502868904E-2</v>
      </c>
      <c r="AF20">
        <f t="shared" si="15"/>
        <v>-7.0597593025817404E-2</v>
      </c>
      <c r="AG20">
        <f t="shared" si="16"/>
        <v>-9.5118091285104164E-2</v>
      </c>
      <c r="AH20">
        <f t="shared" si="17"/>
        <v>-7.6673944165546751E-2</v>
      </c>
      <c r="AI20">
        <f t="shared" si="18"/>
        <v>-1.0862445577893933E-3</v>
      </c>
      <c r="AJ20">
        <f t="shared" si="7"/>
        <v>4.9609965077560325E-2</v>
      </c>
      <c r="AK20">
        <f t="shared" si="1"/>
        <v>-1.2773010228345379E-2</v>
      </c>
      <c r="AL20">
        <f t="shared" si="2"/>
        <v>-0.28422738190552443</v>
      </c>
      <c r="AM20">
        <f t="shared" si="3"/>
        <v>-0.13808745225784741</v>
      </c>
      <c r="AN20">
        <f t="shared" si="4"/>
        <v>-4.9995509996250999E-2</v>
      </c>
    </row>
    <row r="21" spans="1:40">
      <c r="A21" s="37">
        <v>37104</v>
      </c>
      <c r="B21" s="1">
        <v>12.728539</v>
      </c>
      <c r="C21" s="1">
        <v>16.911877</v>
      </c>
      <c r="D21" s="1">
        <v>19.574414999999998</v>
      </c>
      <c r="E21" s="1">
        <v>243.23921199999998</v>
      </c>
      <c r="F21" s="1">
        <v>9.291955999999999</v>
      </c>
      <c r="G21" s="1">
        <v>9.4835089999999997</v>
      </c>
      <c r="H21" s="1">
        <v>13.554017999999999</v>
      </c>
      <c r="I21" s="1">
        <v>19.353756000000001</v>
      </c>
      <c r="J21" s="1">
        <v>22.435435999999999</v>
      </c>
      <c r="K21" s="1">
        <v>14.196802999999999</v>
      </c>
      <c r="L21" s="1">
        <v>22.723637</v>
      </c>
      <c r="M21" s="1">
        <v>31.570502999999999</v>
      </c>
      <c r="N21" s="1">
        <v>11.704706999999999</v>
      </c>
      <c r="O21" s="1">
        <v>5.1695389999999994</v>
      </c>
      <c r="P21" s="1">
        <v>0.278167</v>
      </c>
      <c r="Q21" s="1">
        <v>0.44699999999999995</v>
      </c>
      <c r="R21" s="1">
        <v>17.457274999999999</v>
      </c>
      <c r="S21" s="1">
        <v>49.817008999999999</v>
      </c>
      <c r="V21" s="37">
        <v>37104</v>
      </c>
      <c r="W21">
        <f t="shared" si="5"/>
        <v>-0.10383367643372104</v>
      </c>
      <c r="X21">
        <f t="shared" si="6"/>
        <v>-5.0406173129097391E-2</v>
      </c>
      <c r="Y21">
        <f t="shared" si="8"/>
        <v>-0.13324955049742224</v>
      </c>
      <c r="Z21">
        <f t="shared" si="9"/>
        <v>-0.11291759981527971</v>
      </c>
      <c r="AA21">
        <f t="shared" si="10"/>
        <v>-6.7077911260018802E-2</v>
      </c>
      <c r="AB21">
        <f t="shared" si="11"/>
        <v>-0.22335445666788531</v>
      </c>
      <c r="AC21">
        <f t="shared" si="12"/>
        <v>-0.12879339543447563</v>
      </c>
      <c r="AD21">
        <f t="shared" si="13"/>
        <v>-1.8340884322402325E-2</v>
      </c>
      <c r="AE21">
        <f t="shared" si="14"/>
        <v>-0.12245685798127567</v>
      </c>
      <c r="AF21">
        <f t="shared" si="15"/>
        <v>4.9535307350535226E-2</v>
      </c>
      <c r="AG21">
        <f t="shared" si="16"/>
        <v>-0.20208657619376699</v>
      </c>
      <c r="AH21">
        <f t="shared" si="17"/>
        <v>-8.4410470115094505E-2</v>
      </c>
      <c r="AI21">
        <f t="shared" si="18"/>
        <v>-2.8430698863286332E-2</v>
      </c>
      <c r="AJ21">
        <f t="shared" si="7"/>
        <v>-8.3736480177439385E-2</v>
      </c>
      <c r="AK21">
        <f t="shared" si="1"/>
        <v>-0.16388356634683487</v>
      </c>
      <c r="AL21">
        <f t="shared" si="2"/>
        <v>-0.33221476510067111</v>
      </c>
      <c r="AM21">
        <f t="shared" si="3"/>
        <v>-0.10306717400052415</v>
      </c>
      <c r="AN21">
        <f t="shared" si="4"/>
        <v>-8.1130583331488232E-2</v>
      </c>
    </row>
    <row r="22" spans="1:40">
      <c r="A22" s="37">
        <v>37135</v>
      </c>
      <c r="B22" s="1">
        <v>11.406888</v>
      </c>
      <c r="C22" s="1">
        <v>16.059414</v>
      </c>
      <c r="D22" s="1">
        <v>16.966132999999999</v>
      </c>
      <c r="E22" s="1">
        <v>215.773224</v>
      </c>
      <c r="F22" s="1">
        <v>8.6686709999999998</v>
      </c>
      <c r="G22" s="1">
        <v>7.3653249999999995</v>
      </c>
      <c r="H22" s="1">
        <v>11.808349999999999</v>
      </c>
      <c r="I22" s="1">
        <v>18.998791000000001</v>
      </c>
      <c r="J22" s="1">
        <v>19.688063</v>
      </c>
      <c r="K22" s="1">
        <v>14.900046</v>
      </c>
      <c r="L22" s="1">
        <v>18.131494999999997</v>
      </c>
      <c r="M22" s="1">
        <v>28.905621999999997</v>
      </c>
      <c r="N22" s="1">
        <v>11.371934</v>
      </c>
      <c r="O22" s="1">
        <v>4.7366599999999996</v>
      </c>
      <c r="P22" s="1">
        <v>0.23257999999999998</v>
      </c>
      <c r="Q22" s="1">
        <v>0.29849999999999999</v>
      </c>
      <c r="R22" s="1">
        <v>15.658002999999999</v>
      </c>
      <c r="S22" s="1">
        <v>45.775326</v>
      </c>
      <c r="V22" s="37">
        <v>37135</v>
      </c>
      <c r="W22">
        <f t="shared" si="5"/>
        <v>0.11060922137571609</v>
      </c>
      <c r="X22">
        <f t="shared" si="6"/>
        <v>1.932249831780905E-2</v>
      </c>
      <c r="Y22">
        <f t="shared" si="8"/>
        <v>3.5432293263291025E-2</v>
      </c>
      <c r="Z22">
        <f t="shared" si="9"/>
        <v>0.12395026363419402</v>
      </c>
      <c r="AA22">
        <f t="shared" si="10"/>
        <v>-0.14004003612549148</v>
      </c>
      <c r="AB22">
        <f t="shared" si="11"/>
        <v>0.13439746379148235</v>
      </c>
      <c r="AC22">
        <f t="shared" si="12"/>
        <v>-1.0721396300075804E-2</v>
      </c>
      <c r="AD22">
        <f t="shared" si="13"/>
        <v>1.3600444365117604E-2</v>
      </c>
      <c r="AE22">
        <f t="shared" si="14"/>
        <v>4.8427161168673676E-2</v>
      </c>
      <c r="AF22">
        <f t="shared" si="15"/>
        <v>4.4887713769474188E-2</v>
      </c>
      <c r="AG22">
        <f t="shared" si="16"/>
        <v>1.2732099586934354E-2</v>
      </c>
      <c r="AH22">
        <f t="shared" si="17"/>
        <v>5.6879488702924322E-2</v>
      </c>
      <c r="AI22">
        <f t="shared" si="18"/>
        <v>-0.11136091714918503</v>
      </c>
      <c r="AJ22">
        <f t="shared" si="7"/>
        <v>-7.5467312410010451E-2</v>
      </c>
      <c r="AK22">
        <f t="shared" si="1"/>
        <v>0.13217387565568833</v>
      </c>
      <c r="AL22">
        <f t="shared" si="2"/>
        <v>0.16917922948073699</v>
      </c>
      <c r="AM22">
        <f t="shared" si="3"/>
        <v>0.13640813582677186</v>
      </c>
      <c r="AN22">
        <f t="shared" si="4"/>
        <v>0.17825996476791872</v>
      </c>
    </row>
    <row r="23" spans="1:40">
      <c r="A23" s="37">
        <v>37165</v>
      </c>
      <c r="B23" s="1">
        <v>12.668595</v>
      </c>
      <c r="C23" s="1">
        <v>16.369721999999999</v>
      </c>
      <c r="D23" s="1">
        <v>17.567281999999999</v>
      </c>
      <c r="E23" s="1">
        <v>242.518372</v>
      </c>
      <c r="F23" s="1">
        <v>7.4547099999999995</v>
      </c>
      <c r="G23" s="1">
        <v>8.355205999999999</v>
      </c>
      <c r="H23" s="1">
        <v>11.681747999999999</v>
      </c>
      <c r="I23" s="1">
        <v>19.257182999999998</v>
      </c>
      <c r="J23" s="1">
        <v>20.641500000000001</v>
      </c>
      <c r="K23" s="1">
        <v>15.568874999999998</v>
      </c>
      <c r="L23" s="1">
        <v>18.362347</v>
      </c>
      <c r="M23" s="1">
        <v>30.549758999999998</v>
      </c>
      <c r="N23" s="1">
        <v>10.105544999999999</v>
      </c>
      <c r="O23" s="1">
        <v>4.3791969999999996</v>
      </c>
      <c r="P23" s="1">
        <v>0.26332099999999997</v>
      </c>
      <c r="Q23" s="1">
        <v>0.34899999999999998</v>
      </c>
      <c r="R23" s="1">
        <v>17.793882</v>
      </c>
      <c r="S23" s="1">
        <v>53.935233999999994</v>
      </c>
      <c r="V23" s="37">
        <v>37165</v>
      </c>
      <c r="W23">
        <f t="shared" si="5"/>
        <v>3.2523732900135677E-3</v>
      </c>
      <c r="X23">
        <f t="shared" si="6"/>
        <v>4.0515410096762676E-2</v>
      </c>
      <c r="Y23">
        <f t="shared" si="8"/>
        <v>7.7209496608524858E-2</v>
      </c>
      <c r="Z23">
        <f t="shared" si="9"/>
        <v>5.2285045027434023E-2</v>
      </c>
      <c r="AA23">
        <f t="shared" si="10"/>
        <v>4.1047472000922978E-2</v>
      </c>
      <c r="AB23">
        <f t="shared" si="11"/>
        <v>0.15661145877193225</v>
      </c>
      <c r="AC23">
        <f t="shared" si="12"/>
        <v>8.1103958072028248E-2</v>
      </c>
      <c r="AD23">
        <f t="shared" si="13"/>
        <v>5.5533044474885107E-2</v>
      </c>
      <c r="AE23">
        <f t="shared" si="14"/>
        <v>9.0553399704478774E-2</v>
      </c>
      <c r="AF23">
        <f t="shared" si="15"/>
        <v>3.3651628650111322E-2</v>
      </c>
      <c r="AG23">
        <f t="shared" si="16"/>
        <v>0.12134015330393212</v>
      </c>
      <c r="AH23">
        <f t="shared" si="17"/>
        <v>0.10181825002285606</v>
      </c>
      <c r="AI23">
        <f t="shared" si="18"/>
        <v>8.3544133443569951E-2</v>
      </c>
      <c r="AJ23">
        <f t="shared" si="7"/>
        <v>0.11639325657192404</v>
      </c>
      <c r="AK23">
        <f t="shared" si="1"/>
        <v>0.21298339289308488</v>
      </c>
      <c r="AL23">
        <f t="shared" si="2"/>
        <v>0.62177650429799425</v>
      </c>
      <c r="AM23">
        <f t="shared" si="3"/>
        <v>0.10421317843964573</v>
      </c>
      <c r="AN23">
        <f t="shared" si="4"/>
        <v>6.958434629207319E-2</v>
      </c>
    </row>
    <row r="24" spans="1:40">
      <c r="A24" s="37">
        <v>37196</v>
      </c>
      <c r="B24" s="1">
        <v>12.709797999999999</v>
      </c>
      <c r="C24" s="1">
        <v>17.032947999999998</v>
      </c>
      <c r="D24" s="1">
        <v>18.923642999999998</v>
      </c>
      <c r="E24" s="1">
        <v>255.19845599999999</v>
      </c>
      <c r="F24" s="1">
        <v>7.760707</v>
      </c>
      <c r="G24" s="1">
        <v>9.6637269999999997</v>
      </c>
      <c r="H24" s="1">
        <v>12.629183999999999</v>
      </c>
      <c r="I24" s="1">
        <v>20.326592999999999</v>
      </c>
      <c r="J24" s="1">
        <v>22.510657999999999</v>
      </c>
      <c r="K24" s="1">
        <v>16.092793</v>
      </c>
      <c r="L24" s="1">
        <v>20.590436999999998</v>
      </c>
      <c r="M24" s="1">
        <v>33.660281999999995</v>
      </c>
      <c r="N24" s="1">
        <v>10.949804</v>
      </c>
      <c r="O24" s="1">
        <v>4.8889059999999995</v>
      </c>
      <c r="P24" s="1">
        <v>0.31940399999999997</v>
      </c>
      <c r="Q24" s="1">
        <v>0.56599999999999995</v>
      </c>
      <c r="R24" s="1">
        <v>19.648239</v>
      </c>
      <c r="S24" s="1">
        <v>57.688281999999994</v>
      </c>
      <c r="V24" s="37">
        <v>37196</v>
      </c>
      <c r="W24">
        <f t="shared" si="5"/>
        <v>9.0356274741738629E-2</v>
      </c>
      <c r="X24">
        <f t="shared" si="6"/>
        <v>2.5578543420669338E-2</v>
      </c>
      <c r="Y24">
        <f t="shared" si="8"/>
        <v>-3.6320649253423286E-2</v>
      </c>
      <c r="Z24">
        <f t="shared" si="9"/>
        <v>5.7580034888612311E-2</v>
      </c>
      <c r="AA24">
        <f t="shared" si="10"/>
        <v>3.55354222237741E-2</v>
      </c>
      <c r="AB24">
        <f t="shared" si="11"/>
        <v>0.10540519201339188</v>
      </c>
      <c r="AC24">
        <f t="shared" si="12"/>
        <v>9.1772120827442294E-2</v>
      </c>
      <c r="AD24">
        <f t="shared" si="13"/>
        <v>2.1559687843407838E-2</v>
      </c>
      <c r="AE24">
        <f t="shared" si="14"/>
        <v>0.12076581679664804</v>
      </c>
      <c r="AF24">
        <f t="shared" si="15"/>
        <v>-7.7505626276308914E-2</v>
      </c>
      <c r="AG24">
        <f t="shared" si="16"/>
        <v>8.4472903610545019E-2</v>
      </c>
      <c r="AH24">
        <f t="shared" si="17"/>
        <v>-4.5742783735442091E-2</v>
      </c>
      <c r="AI24">
        <f t="shared" si="18"/>
        <v>2.1921122971698796E-2</v>
      </c>
      <c r="AJ24">
        <f t="shared" si="7"/>
        <v>2.427393776849059E-2</v>
      </c>
      <c r="AK24">
        <f t="shared" si="1"/>
        <v>2.8171218895192317E-2</v>
      </c>
      <c r="AL24">
        <f t="shared" si="2"/>
        <v>-4.4169611307420538E-2</v>
      </c>
      <c r="AM24">
        <f t="shared" si="3"/>
        <v>3.1771244232116629E-2</v>
      </c>
      <c r="AN24">
        <f t="shared" si="4"/>
        <v>4.7748345149193502E-2</v>
      </c>
    </row>
    <row r="25" spans="1:40">
      <c r="A25" s="37">
        <v>37226</v>
      </c>
      <c r="B25" s="1">
        <v>13.858207999999999</v>
      </c>
      <c r="C25" s="1">
        <v>17.468626</v>
      </c>
      <c r="D25" s="1">
        <v>18.236324</v>
      </c>
      <c r="E25" s="1">
        <v>269.89279199999999</v>
      </c>
      <c r="F25" s="1">
        <v>8.0364869999999993</v>
      </c>
      <c r="G25" s="1">
        <v>10.682333999999999</v>
      </c>
      <c r="H25" s="1">
        <v>13.788190999999999</v>
      </c>
      <c r="I25" s="1">
        <v>20.764827999999998</v>
      </c>
      <c r="J25" s="1">
        <v>25.229175999999999</v>
      </c>
      <c r="K25" s="1">
        <v>14.845511</v>
      </c>
      <c r="L25" s="1">
        <v>22.329770999999997</v>
      </c>
      <c r="M25" s="1">
        <v>32.120567000000001</v>
      </c>
      <c r="N25" s="1">
        <v>11.189836</v>
      </c>
      <c r="O25" s="1">
        <v>5.0075789999999998</v>
      </c>
      <c r="P25" s="1">
        <v>0.32840199999999997</v>
      </c>
      <c r="Q25" s="1">
        <v>0.54099999999999993</v>
      </c>
      <c r="R25" s="1">
        <v>20.272487999999999</v>
      </c>
      <c r="S25" s="1">
        <v>60.442802</v>
      </c>
      <c r="V25" s="37">
        <v>37226</v>
      </c>
      <c r="W25">
        <f t="shared" si="5"/>
        <v>-4.5782181938674879E-2</v>
      </c>
      <c r="X25">
        <f t="shared" si="6"/>
        <v>1.1001151435722471E-2</v>
      </c>
      <c r="Y25">
        <f t="shared" si="8"/>
        <v>-6.3273223265829168E-2</v>
      </c>
      <c r="Z25">
        <f t="shared" si="9"/>
        <v>-6.1014964045427361E-2</v>
      </c>
      <c r="AA25">
        <f t="shared" si="10"/>
        <v>-3.0793305582401407E-3</v>
      </c>
      <c r="AB25">
        <f t="shared" si="11"/>
        <v>1.7604017998313924E-2</v>
      </c>
      <c r="AC25">
        <f t="shared" si="12"/>
        <v>1.2169254110274539E-2</v>
      </c>
      <c r="AD25">
        <f t="shared" si="13"/>
        <v>3.2225598016029824E-2</v>
      </c>
      <c r="AE25">
        <f t="shared" si="14"/>
        <v>-4.874376396597338E-2</v>
      </c>
      <c r="AF25">
        <f t="shared" si="15"/>
        <v>4.5671112297852173E-2</v>
      </c>
      <c r="AG25">
        <f t="shared" si="16"/>
        <v>4.4829389428131944E-3</v>
      </c>
      <c r="AH25">
        <f t="shared" si="17"/>
        <v>-2.5895651219357413E-2</v>
      </c>
      <c r="AI25">
        <f t="shared" si="18"/>
        <v>6.7172566246726018E-2</v>
      </c>
      <c r="AJ25">
        <f t="shared" si="7"/>
        <v>5.0285377424899261E-2</v>
      </c>
      <c r="AK25">
        <f t="shared" si="1"/>
        <v>0.12876900871492863</v>
      </c>
      <c r="AL25">
        <f t="shared" si="2"/>
        <v>0.31146025878003719</v>
      </c>
      <c r="AM25">
        <f t="shared" si="3"/>
        <v>-3.8340187943384146E-2</v>
      </c>
      <c r="AN25">
        <f t="shared" si="4"/>
        <v>-0.10805208865068831</v>
      </c>
    </row>
    <row r="26" spans="1:40">
      <c r="A26" s="37">
        <v>37257</v>
      </c>
      <c r="B26" s="1">
        <v>13.223749</v>
      </c>
      <c r="C26" s="1">
        <v>17.660800999999999</v>
      </c>
      <c r="D26" s="1">
        <v>17.082453000000001</v>
      </c>
      <c r="E26" s="1">
        <v>253.42529299999998</v>
      </c>
      <c r="F26" s="1">
        <v>8.0117399999999996</v>
      </c>
      <c r="G26" s="1">
        <v>10.870386</v>
      </c>
      <c r="H26" s="1">
        <v>13.955983</v>
      </c>
      <c r="I26" s="1">
        <v>21.433986999999998</v>
      </c>
      <c r="J26" s="1">
        <v>23.999410999999998</v>
      </c>
      <c r="K26" s="1">
        <v>15.523522</v>
      </c>
      <c r="L26" s="1">
        <v>22.429873999999998</v>
      </c>
      <c r="M26" s="1">
        <v>31.288784</v>
      </c>
      <c r="N26" s="1">
        <v>11.941485999999999</v>
      </c>
      <c r="O26" s="1">
        <v>5.2593869999999994</v>
      </c>
      <c r="P26" s="1">
        <v>0.37068999999999996</v>
      </c>
      <c r="Q26" s="1">
        <v>0.70950000000000002</v>
      </c>
      <c r="R26" s="1">
        <v>19.495236999999999</v>
      </c>
      <c r="S26" s="1">
        <v>53.911830999999999</v>
      </c>
      <c r="V26" s="37">
        <v>37257</v>
      </c>
      <c r="W26">
        <f t="shared" si="5"/>
        <v>-5.9895873704196988E-2</v>
      </c>
      <c r="X26">
        <f t="shared" si="6"/>
        <v>1.4596789805853144E-2</v>
      </c>
      <c r="Y26">
        <f t="shared" si="8"/>
        <v>-0.13285878790358743</v>
      </c>
      <c r="Z26">
        <f t="shared" si="9"/>
        <v>-4.2132333649901238E-2</v>
      </c>
      <c r="AA26">
        <f t="shared" si="10"/>
        <v>7.62044200136292E-3</v>
      </c>
      <c r="AB26">
        <f t="shared" si="11"/>
        <v>6.9675538660724373E-3</v>
      </c>
      <c r="AC26">
        <f t="shared" si="12"/>
        <v>9.0061516985224216E-2</v>
      </c>
      <c r="AD26">
        <f t="shared" si="13"/>
        <v>4.3051579717763216E-2</v>
      </c>
      <c r="AE26">
        <f t="shared" si="14"/>
        <v>0.13837510428901786</v>
      </c>
      <c r="AF26">
        <f t="shared" si="15"/>
        <v>-1.7038659139337064E-2</v>
      </c>
      <c r="AG26">
        <f t="shared" si="16"/>
        <v>1.9020303011956258E-2</v>
      </c>
      <c r="AH26">
        <f t="shared" si="17"/>
        <v>4.2012690553905857E-2</v>
      </c>
      <c r="AI26">
        <f t="shared" si="18"/>
        <v>1.6776555279635997E-2</v>
      </c>
      <c r="AJ26">
        <f t="shared" si="7"/>
        <v>-1.0093571741345432E-2</v>
      </c>
      <c r="AK26">
        <f t="shared" si="1"/>
        <v>-0.12216946774933225</v>
      </c>
      <c r="AL26">
        <f t="shared" si="2"/>
        <v>-6.3424947145878218E-3</v>
      </c>
      <c r="AM26">
        <f t="shared" si="3"/>
        <v>-8.4287921198393193E-2</v>
      </c>
      <c r="AN26">
        <f t="shared" si="4"/>
        <v>-9.0555410740918801E-2</v>
      </c>
    </row>
    <row r="27" spans="1:40">
      <c r="A27" s="37">
        <v>37288</v>
      </c>
      <c r="B27" s="1">
        <v>12.431700999999999</v>
      </c>
      <c r="C27" s="1">
        <v>17.918592</v>
      </c>
      <c r="D27" s="1">
        <v>14.812899</v>
      </c>
      <c r="E27" s="1">
        <v>242.747894</v>
      </c>
      <c r="F27" s="1">
        <v>8.072792999999999</v>
      </c>
      <c r="G27" s="1">
        <v>10.946126</v>
      </c>
      <c r="H27" s="1">
        <v>15.21288</v>
      </c>
      <c r="I27" s="1">
        <v>22.356753999999999</v>
      </c>
      <c r="J27" s="1">
        <v>27.320332000000001</v>
      </c>
      <c r="K27" s="1">
        <v>15.259022</v>
      </c>
      <c r="L27" s="1">
        <v>22.856496999999997</v>
      </c>
      <c r="M27" s="1">
        <v>32.60331</v>
      </c>
      <c r="N27" s="1">
        <v>12.141822999999999</v>
      </c>
      <c r="O27" s="1">
        <v>5.2063009999999998</v>
      </c>
      <c r="P27" s="1">
        <v>0.325403</v>
      </c>
      <c r="Q27" s="1">
        <v>0.70499999999999996</v>
      </c>
      <c r="R27" s="1">
        <v>17.852024</v>
      </c>
      <c r="S27" s="1">
        <v>49.029823</v>
      </c>
      <c r="V27" s="37">
        <v>37288</v>
      </c>
      <c r="W27">
        <f t="shared" si="5"/>
        <v>4.5912622898507748E-2</v>
      </c>
      <c r="X27">
        <f t="shared" si="6"/>
        <v>7.3766231186021783E-2</v>
      </c>
      <c r="Y27">
        <f t="shared" si="8"/>
        <v>0.21880396268144392</v>
      </c>
      <c r="Z27">
        <f t="shared" si="9"/>
        <v>9.4365193545201106E-2</v>
      </c>
      <c r="AA27">
        <f t="shared" si="10"/>
        <v>7.7230767591836044E-2</v>
      </c>
      <c r="AB27">
        <f t="shared" si="11"/>
        <v>-2.5292418523229148E-2</v>
      </c>
      <c r="AC27">
        <f t="shared" si="12"/>
        <v>-4.9655883698550188E-2</v>
      </c>
      <c r="AD27">
        <f t="shared" si="13"/>
        <v>6.2507598374969775E-2</v>
      </c>
      <c r="AE27">
        <f t="shared" si="14"/>
        <v>-7.8532684009843035E-2</v>
      </c>
      <c r="AF27">
        <f t="shared" si="15"/>
        <v>-2.6713114379152272E-2</v>
      </c>
      <c r="AG27">
        <f t="shared" si="16"/>
        <v>0.12373151493861913</v>
      </c>
      <c r="AH27">
        <f t="shared" si="17"/>
        <v>9.3303870067180272E-2</v>
      </c>
      <c r="AI27">
        <f t="shared" si="18"/>
        <v>5.330410433425032E-2</v>
      </c>
      <c r="AJ27">
        <f t="shared" si="7"/>
        <v>3.5498907957876413E-2</v>
      </c>
      <c r="AK27">
        <f t="shared" si="1"/>
        <v>9.0782813926116188E-2</v>
      </c>
      <c r="AL27">
        <f t="shared" si="2"/>
        <v>1.4184397163120581E-2</v>
      </c>
      <c r="AM27">
        <f t="shared" si="3"/>
        <v>3.3767151556596611E-2</v>
      </c>
      <c r="AN27">
        <f t="shared" si="4"/>
        <v>6.1324961340366226E-2</v>
      </c>
    </row>
    <row r="28" spans="1:40">
      <c r="A28" s="37">
        <v>37316</v>
      </c>
      <c r="B28" s="1">
        <v>13.002473</v>
      </c>
      <c r="C28" s="1">
        <v>19.240379000000001</v>
      </c>
      <c r="D28" s="1">
        <v>18.054019999999998</v>
      </c>
      <c r="E28" s="1">
        <v>265.65484599999996</v>
      </c>
      <c r="F28" s="1">
        <v>8.6962609999999998</v>
      </c>
      <c r="G28" s="1">
        <v>10.669271999999999</v>
      </c>
      <c r="H28" s="1">
        <v>14.457471</v>
      </c>
      <c r="I28" s="1">
        <v>23.754220999999998</v>
      </c>
      <c r="J28" s="1">
        <v>25.174792999999998</v>
      </c>
      <c r="K28" s="1">
        <v>14.851405999999999</v>
      </c>
      <c r="L28" s="1">
        <v>25.684566</v>
      </c>
      <c r="M28" s="1">
        <v>35.645325</v>
      </c>
      <c r="N28" s="1">
        <v>12.789031999999999</v>
      </c>
      <c r="O28" s="1">
        <v>5.3911189999999998</v>
      </c>
      <c r="P28" s="1">
        <v>0.35494399999999998</v>
      </c>
      <c r="Q28" s="1">
        <v>0.71499999999999997</v>
      </c>
      <c r="R28" s="1">
        <v>18.454836</v>
      </c>
      <c r="S28" s="1">
        <v>52.036574999999999</v>
      </c>
      <c r="V28" s="37">
        <v>37316</v>
      </c>
      <c r="W28">
        <f t="shared" si="5"/>
        <v>0.15761732402751383</v>
      </c>
      <c r="X28">
        <f t="shared" si="6"/>
        <v>6.5569186552925901E-2</v>
      </c>
      <c r="Y28">
        <f t="shared" si="8"/>
        <v>-1.542803209479094E-2</v>
      </c>
      <c r="Z28">
        <f t="shared" si="9"/>
        <v>-0.12560565900612244</v>
      </c>
      <c r="AA28">
        <f t="shared" si="10"/>
        <v>-1.6069319906566865E-2</v>
      </c>
      <c r="AB28">
        <f t="shared" si="11"/>
        <v>-2.7417240838925088E-2</v>
      </c>
      <c r="AC28">
        <f t="shared" si="12"/>
        <v>-1.2403414124088567E-2</v>
      </c>
      <c r="AD28">
        <f t="shared" si="13"/>
        <v>1.886696263371545E-3</v>
      </c>
      <c r="AE28">
        <f t="shared" si="14"/>
        <v>4.9734669119226582E-3</v>
      </c>
      <c r="AF28">
        <f t="shared" si="15"/>
        <v>-8.5304111947380579E-2</v>
      </c>
      <c r="AG28">
        <f t="shared" si="16"/>
        <v>1.2205773693041871E-3</v>
      </c>
      <c r="AH28">
        <f t="shared" si="17"/>
        <v>-2.716291687619633E-2</v>
      </c>
      <c r="AI28">
        <f t="shared" si="18"/>
        <v>3.5425120525150039E-2</v>
      </c>
      <c r="AJ28">
        <f t="shared" si="7"/>
        <v>-2.0220662908757882E-2</v>
      </c>
      <c r="AK28">
        <f t="shared" si="1"/>
        <v>2.5347660476018691E-2</v>
      </c>
      <c r="AL28">
        <f t="shared" si="2"/>
        <v>0.16713286713286707</v>
      </c>
      <c r="AM28">
        <f t="shared" si="3"/>
        <v>-0.1334774256460475</v>
      </c>
      <c r="AN28">
        <f t="shared" si="4"/>
        <v>-0.1946154988102119</v>
      </c>
    </row>
    <row r="29" spans="1:40">
      <c r="A29" s="37">
        <v>37347</v>
      </c>
      <c r="B29" s="1">
        <v>15.051888</v>
      </c>
      <c r="C29" s="1">
        <v>20.501954999999999</v>
      </c>
      <c r="D29" s="1">
        <v>17.775482</v>
      </c>
      <c r="E29" s="1">
        <v>232.287094</v>
      </c>
      <c r="F29" s="1">
        <v>8.5565179999999987</v>
      </c>
      <c r="G29" s="1">
        <v>10.376749999999999</v>
      </c>
      <c r="H29" s="1">
        <v>14.278148999999999</v>
      </c>
      <c r="I29" s="1">
        <v>23.799037999999999</v>
      </c>
      <c r="J29" s="1">
        <v>25.299999</v>
      </c>
      <c r="K29" s="1">
        <v>13.584519999999999</v>
      </c>
      <c r="L29" s="1">
        <v>25.715916</v>
      </c>
      <c r="M29" s="1">
        <v>34.677093999999997</v>
      </c>
      <c r="N29" s="1">
        <v>13.242084999999999</v>
      </c>
      <c r="O29" s="1">
        <v>5.2821069999999999</v>
      </c>
      <c r="P29" s="1">
        <v>0.36394099999999996</v>
      </c>
      <c r="Q29" s="1">
        <v>0.83449999999999991</v>
      </c>
      <c r="R29" s="1">
        <v>15.991531999999999</v>
      </c>
      <c r="S29" s="1">
        <v>41.909450999999997</v>
      </c>
      <c r="V29" s="37">
        <v>37347</v>
      </c>
      <c r="W29">
        <f t="shared" si="5"/>
        <v>-1.750278769015618E-3</v>
      </c>
      <c r="X29">
        <f t="shared" si="6"/>
        <v>4.5944008754287141E-2</v>
      </c>
      <c r="Y29">
        <f t="shared" si="8"/>
        <v>3.4174882008825264E-2</v>
      </c>
      <c r="Z29">
        <f t="shared" si="9"/>
        <v>-2.7719577050630243E-3</v>
      </c>
      <c r="AA29">
        <f t="shared" si="10"/>
        <v>3.6851321998037125E-2</v>
      </c>
      <c r="AB29">
        <f t="shared" si="11"/>
        <v>4.2285108535909589E-2</v>
      </c>
      <c r="AC29">
        <f t="shared" si="12"/>
        <v>5.0044932294795348E-2</v>
      </c>
      <c r="AD29">
        <f t="shared" si="13"/>
        <v>-3.7151501669941342E-3</v>
      </c>
      <c r="AE29">
        <f t="shared" si="14"/>
        <v>-8.3907196992379404E-2</v>
      </c>
      <c r="AF29">
        <f t="shared" si="15"/>
        <v>-4.8143033393892455E-2</v>
      </c>
      <c r="AG29">
        <f t="shared" si="16"/>
        <v>3.8660804460552652E-2</v>
      </c>
      <c r="AH29">
        <f t="shared" si="17"/>
        <v>7.9681907601600085E-2</v>
      </c>
      <c r="AI29">
        <f t="shared" si="18"/>
        <v>2.4437767919477868E-2</v>
      </c>
      <c r="AJ29">
        <f t="shared" si="7"/>
        <v>-4.8514730958687538E-2</v>
      </c>
      <c r="AK29">
        <f t="shared" si="1"/>
        <v>-3.9968016793930743E-2</v>
      </c>
      <c r="AL29">
        <f t="shared" si="2"/>
        <v>9.2270820850808954E-2</v>
      </c>
      <c r="AM29">
        <f t="shared" si="3"/>
        <v>-2.5831859011381752E-2</v>
      </c>
      <c r="AN29">
        <f t="shared" si="4"/>
        <v>-3.9517458723093229E-2</v>
      </c>
    </row>
    <row r="30" spans="1:40">
      <c r="A30" s="37">
        <v>37377</v>
      </c>
      <c r="B30" s="1">
        <v>15.025542999999999</v>
      </c>
      <c r="C30" s="1">
        <v>21.443897</v>
      </c>
      <c r="D30" s="1">
        <v>18.382956999999998</v>
      </c>
      <c r="E30" s="1">
        <v>231.643204</v>
      </c>
      <c r="F30" s="1">
        <v>8.8718369999999993</v>
      </c>
      <c r="G30" s="1">
        <v>10.815531999999999</v>
      </c>
      <c r="H30" s="1">
        <v>14.992697999999999</v>
      </c>
      <c r="I30" s="1">
        <v>23.710621</v>
      </c>
      <c r="J30" s="1">
        <v>23.177146999999998</v>
      </c>
      <c r="K30" s="1">
        <v>12.93052</v>
      </c>
      <c r="L30" s="1">
        <v>26.710113999999997</v>
      </c>
      <c r="M30" s="1">
        <v>37.440230999999997</v>
      </c>
      <c r="N30" s="1">
        <v>13.565691999999999</v>
      </c>
      <c r="O30" s="1">
        <v>5.0258469999999997</v>
      </c>
      <c r="P30" s="1">
        <v>0.34939500000000001</v>
      </c>
      <c r="Q30" s="1">
        <v>0.91149999999999998</v>
      </c>
      <c r="R30" s="1">
        <v>15.578441</v>
      </c>
      <c r="S30" s="1">
        <v>40.253295999999999</v>
      </c>
      <c r="V30" s="37">
        <v>37377</v>
      </c>
      <c r="W30">
        <f t="shared" si="5"/>
        <v>-5.441813317495417E-2</v>
      </c>
      <c r="X30">
        <f t="shared" si="6"/>
        <v>-7.1890477742921483E-2</v>
      </c>
      <c r="Y30">
        <f t="shared" si="8"/>
        <v>-5.6467194042829988E-2</v>
      </c>
      <c r="Z30">
        <f t="shared" si="9"/>
        <v>-9.8903501611037989E-2</v>
      </c>
      <c r="AA30">
        <f t="shared" si="10"/>
        <v>-3.4723361125773539E-2</v>
      </c>
      <c r="AB30">
        <f t="shared" si="11"/>
        <v>-4.1293854060992986E-2</v>
      </c>
      <c r="AC30">
        <f t="shared" si="12"/>
        <v>1.9149388589031799E-2</v>
      </c>
      <c r="AD30">
        <f t="shared" si="13"/>
        <v>-2.7915338025099128E-3</v>
      </c>
      <c r="AE30">
        <f t="shared" si="14"/>
        <v>-3.1256133466297631E-2</v>
      </c>
      <c r="AF30">
        <f t="shared" si="15"/>
        <v>1.5091813786297854E-2</v>
      </c>
      <c r="AG30">
        <f t="shared" si="16"/>
        <v>-0.14561255710102919</v>
      </c>
      <c r="AH30">
        <f t="shared" si="17"/>
        <v>2.7258939721819558E-2</v>
      </c>
      <c r="AI30">
        <f t="shared" si="18"/>
        <v>-3.9413175531332938E-2</v>
      </c>
      <c r="AJ30">
        <f t="shared" si="7"/>
        <v>-7.114601777571021E-2</v>
      </c>
      <c r="AK30">
        <f t="shared" si="1"/>
        <v>-0.2394825340946494</v>
      </c>
      <c r="AL30">
        <f t="shared" si="2"/>
        <v>-0.10861217772901809</v>
      </c>
      <c r="AM30">
        <f t="shared" si="3"/>
        <v>7.4445254181724513E-2</v>
      </c>
      <c r="AN30">
        <f t="shared" si="4"/>
        <v>-0.10327648697388651</v>
      </c>
    </row>
    <row r="31" spans="1:40">
      <c r="A31" s="37">
        <v>37408</v>
      </c>
      <c r="B31" s="1">
        <v>14.207880999999999</v>
      </c>
      <c r="C31" s="1">
        <v>19.902284999999999</v>
      </c>
      <c r="D31" s="1">
        <v>17.344922999999998</v>
      </c>
      <c r="E31" s="1">
        <v>208.73287999999999</v>
      </c>
      <c r="F31" s="1">
        <v>8.563777</v>
      </c>
      <c r="G31" s="1">
        <v>10.368917</v>
      </c>
      <c r="H31" s="1">
        <v>15.279798999999999</v>
      </c>
      <c r="I31" s="1">
        <v>23.644431999999998</v>
      </c>
      <c r="J31" s="1">
        <v>22.452718999999998</v>
      </c>
      <c r="K31" s="1">
        <v>13.125665</v>
      </c>
      <c r="L31" s="1">
        <v>22.820785999999998</v>
      </c>
      <c r="M31" s="1">
        <v>38.460811999999997</v>
      </c>
      <c r="N31" s="1">
        <v>13.031025</v>
      </c>
      <c r="O31" s="1">
        <v>4.6682779999999999</v>
      </c>
      <c r="P31" s="1">
        <v>0.26572099999999998</v>
      </c>
      <c r="Q31" s="1">
        <v>0.8125</v>
      </c>
      <c r="R31" s="1">
        <v>16.738181999999998</v>
      </c>
      <c r="S31" s="1">
        <v>36.096077000000001</v>
      </c>
      <c r="V31" s="37">
        <v>37408</v>
      </c>
      <c r="W31">
        <f t="shared" si="5"/>
        <v>-9.5816821663976412E-2</v>
      </c>
      <c r="X31">
        <f t="shared" si="6"/>
        <v>-4.7176392057494958E-2</v>
      </c>
      <c r="Y31">
        <f t="shared" si="8"/>
        <v>-0.26415072583487387</v>
      </c>
      <c r="Z31">
        <f t="shared" si="9"/>
        <v>-0.13445181707836351</v>
      </c>
      <c r="AA31">
        <f t="shared" si="10"/>
        <v>-5.8051021179089689E-2</v>
      </c>
      <c r="AB31">
        <f t="shared" si="11"/>
        <v>-5.2644842272341535E-2</v>
      </c>
      <c r="AC31">
        <f t="shared" si="12"/>
        <v>-0.11851700405221292</v>
      </c>
      <c r="AD31">
        <f t="shared" si="13"/>
        <v>4.2667127719541176E-3</v>
      </c>
      <c r="AE31">
        <f t="shared" si="14"/>
        <v>-0.1199705478877636</v>
      </c>
      <c r="AF31">
        <f t="shared" si="15"/>
        <v>-7.5714106675737955E-2</v>
      </c>
      <c r="AG31">
        <f t="shared" si="16"/>
        <v>-2.918545399794735E-2</v>
      </c>
      <c r="AH31">
        <f t="shared" si="17"/>
        <v>-0.12135916423189402</v>
      </c>
      <c r="AI31">
        <f t="shared" si="18"/>
        <v>1.5980707580562525E-2</v>
      </c>
      <c r="AJ31">
        <f t="shared" si="7"/>
        <v>-0.10530199786730776</v>
      </c>
      <c r="AK31">
        <f t="shared" si="1"/>
        <v>-0.13882606192209124</v>
      </c>
      <c r="AL31">
        <f t="shared" si="2"/>
        <v>-0.11076923076923087</v>
      </c>
      <c r="AM31">
        <f t="shared" si="3"/>
        <v>-0.12285175295620515</v>
      </c>
      <c r="AN31">
        <f t="shared" si="4"/>
        <v>-2.2221805433316262E-2</v>
      </c>
    </row>
    <row r="32" spans="1:40">
      <c r="A32" s="37">
        <v>37438</v>
      </c>
      <c r="B32" s="1">
        <v>12.846527</v>
      </c>
      <c r="C32" s="1">
        <v>18.963366999999998</v>
      </c>
      <c r="D32" s="1">
        <v>12.763249</v>
      </c>
      <c r="E32" s="1">
        <v>180.66836499999999</v>
      </c>
      <c r="F32" s="1">
        <v>8.0666409999999988</v>
      </c>
      <c r="G32" s="1">
        <v>9.823046999999999</v>
      </c>
      <c r="H32" s="1">
        <v>13.468883</v>
      </c>
      <c r="I32" s="1">
        <v>23.745315999999999</v>
      </c>
      <c r="J32" s="1">
        <v>19.759053999999999</v>
      </c>
      <c r="K32" s="1">
        <v>12.131867</v>
      </c>
      <c r="L32" s="1">
        <v>22.154750999999997</v>
      </c>
      <c r="M32" s="1">
        <v>33.793239999999997</v>
      </c>
      <c r="N32" s="1">
        <v>13.239269999999999</v>
      </c>
      <c r="O32" s="1">
        <v>4.1766990000000002</v>
      </c>
      <c r="P32" s="1">
        <v>0.22883199999999998</v>
      </c>
      <c r="Q32" s="1">
        <v>0.72249999999999992</v>
      </c>
      <c r="R32" s="1">
        <v>14.681866999999999</v>
      </c>
      <c r="S32" s="1">
        <v>35.293956999999999</v>
      </c>
      <c r="V32" s="37">
        <v>37438</v>
      </c>
      <c r="W32">
        <f t="shared" si="5"/>
        <v>-5.1837667877084603E-2</v>
      </c>
      <c r="X32">
        <f t="shared" si="6"/>
        <v>5.3834743587465213E-2</v>
      </c>
      <c r="Y32">
        <f t="shared" si="8"/>
        <v>6.9284944609323135E-2</v>
      </c>
      <c r="Z32">
        <f t="shared" si="9"/>
        <v>-2.355425090607308E-2</v>
      </c>
      <c r="AA32">
        <f t="shared" si="10"/>
        <v>8.5494569548837121E-2</v>
      </c>
      <c r="AB32">
        <f t="shared" si="11"/>
        <v>-4.5466849542713066E-2</v>
      </c>
      <c r="AC32">
        <f t="shared" si="12"/>
        <v>9.281267050875712E-2</v>
      </c>
      <c r="AD32">
        <f t="shared" si="13"/>
        <v>1.2319903428533723E-3</v>
      </c>
      <c r="AE32">
        <f t="shared" si="14"/>
        <v>-3.352690872751294E-2</v>
      </c>
      <c r="AF32">
        <f t="shared" si="15"/>
        <v>2.2566271127106817E-2</v>
      </c>
      <c r="AG32">
        <f t="shared" si="16"/>
        <v>2.4898316392723295E-2</v>
      </c>
      <c r="AH32">
        <f t="shared" si="17"/>
        <v>4.3093914640916324E-2</v>
      </c>
      <c r="AI32">
        <f t="shared" si="18"/>
        <v>2.6150308891653415E-2</v>
      </c>
      <c r="AJ32">
        <f t="shared" si="7"/>
        <v>6.7405144589064062E-2</v>
      </c>
      <c r="AK32">
        <f t="shared" si="1"/>
        <v>-3.3421899035099935E-2</v>
      </c>
      <c r="AL32">
        <f t="shared" si="2"/>
        <v>3.3910034602076235E-2</v>
      </c>
      <c r="AM32">
        <f t="shared" si="3"/>
        <v>2.2925490334437717E-2</v>
      </c>
      <c r="AN32">
        <f t="shared" si="4"/>
        <v>7.0738426977740188E-2</v>
      </c>
    </row>
    <row r="33" spans="1:40">
      <c r="A33" s="37">
        <v>37469</v>
      </c>
      <c r="B33" s="1">
        <v>12.180593</v>
      </c>
      <c r="C33" s="1">
        <v>19.984254999999997</v>
      </c>
      <c r="D33" s="1">
        <v>13.647549999999999</v>
      </c>
      <c r="E33" s="1">
        <v>176.412857</v>
      </c>
      <c r="F33" s="1">
        <v>8.7562949999999997</v>
      </c>
      <c r="G33" s="1">
        <v>9.3764240000000001</v>
      </c>
      <c r="H33" s="1">
        <v>14.718966</v>
      </c>
      <c r="I33" s="1">
        <v>23.774570000000001</v>
      </c>
      <c r="J33" s="1">
        <v>19.096594</v>
      </c>
      <c r="K33" s="1">
        <v>12.405638</v>
      </c>
      <c r="L33" s="1">
        <v>22.706367</v>
      </c>
      <c r="M33" s="1">
        <v>35.249522999999996</v>
      </c>
      <c r="N33" s="1">
        <v>13.585481</v>
      </c>
      <c r="O33" s="1">
        <v>4.4582299999999995</v>
      </c>
      <c r="P33" s="1">
        <v>0.22118399999999999</v>
      </c>
      <c r="Q33" s="1">
        <v>0.747</v>
      </c>
      <c r="R33" s="1">
        <v>15.018455999999999</v>
      </c>
      <c r="S33" s="1">
        <v>37.790596000000001</v>
      </c>
      <c r="V33" s="37">
        <v>37469</v>
      </c>
      <c r="W33">
        <f t="shared" si="5"/>
        <v>-0.16402378767601869</v>
      </c>
      <c r="X33">
        <f t="shared" si="6"/>
        <v>-8.9612297281034398E-2</v>
      </c>
      <c r="Y33">
        <f t="shared" si="8"/>
        <v>-0.28068210045026393</v>
      </c>
      <c r="Z33">
        <f t="shared" si="9"/>
        <v>-2.3907843632961615E-2</v>
      </c>
      <c r="AA33">
        <f t="shared" si="10"/>
        <v>-2.7730678329133472E-2</v>
      </c>
      <c r="AB33">
        <f t="shared" si="11"/>
        <v>-0.17994440097845407</v>
      </c>
      <c r="AC33">
        <f t="shared" si="12"/>
        <v>-1.0235501597055219E-2</v>
      </c>
      <c r="AD33">
        <f t="shared" si="13"/>
        <v>8.2343024500548291E-3</v>
      </c>
      <c r="AE33">
        <f t="shared" si="14"/>
        <v>-5.6527828994007982E-2</v>
      </c>
      <c r="AF33">
        <f t="shared" si="15"/>
        <v>-0.11913002781477257</v>
      </c>
      <c r="AG33">
        <f t="shared" si="16"/>
        <v>-0.13532992750447484</v>
      </c>
      <c r="AH33">
        <f t="shared" si="17"/>
        <v>-3.4316946643504806E-2</v>
      </c>
      <c r="AI33">
        <f t="shared" si="18"/>
        <v>-7.1913611303125763E-2</v>
      </c>
      <c r="AJ33">
        <f t="shared" si="7"/>
        <v>-0.20568319714326083</v>
      </c>
      <c r="AK33">
        <f t="shared" si="1"/>
        <v>-1.6949688946759269E-2</v>
      </c>
      <c r="AL33">
        <f t="shared" si="2"/>
        <v>6.6265060240963847E-2</v>
      </c>
      <c r="AM33">
        <f t="shared" si="3"/>
        <v>-0.10880193010519852</v>
      </c>
      <c r="AN33">
        <f t="shared" si="4"/>
        <v>-0.22474001203897398</v>
      </c>
    </row>
    <row r="34" spans="1:40">
      <c r="A34" s="37">
        <v>37500</v>
      </c>
      <c r="B34" s="1">
        <v>10.182686</v>
      </c>
      <c r="C34" s="1">
        <v>18.19342</v>
      </c>
      <c r="D34" s="1">
        <v>9.8169269999999997</v>
      </c>
      <c r="E34" s="1">
        <v>172.19520599999998</v>
      </c>
      <c r="F34" s="1">
        <v>8.513477</v>
      </c>
      <c r="G34" s="1">
        <v>7.6891889999999998</v>
      </c>
      <c r="H34" s="1">
        <v>14.568309999999999</v>
      </c>
      <c r="I34" s="1">
        <v>23.970337000000001</v>
      </c>
      <c r="J34" s="1">
        <v>18.017105000000001</v>
      </c>
      <c r="K34" s="1">
        <v>10.927754</v>
      </c>
      <c r="L34" s="1">
        <v>19.633516</v>
      </c>
      <c r="M34" s="1">
        <v>34.039867000000001</v>
      </c>
      <c r="N34" s="1">
        <v>12.608499999999999</v>
      </c>
      <c r="O34" s="1">
        <v>3.5412469999999998</v>
      </c>
      <c r="P34" s="1">
        <v>0.21743499999999999</v>
      </c>
      <c r="Q34" s="1">
        <v>0.79649999999999999</v>
      </c>
      <c r="R34" s="1">
        <v>13.384418999999999</v>
      </c>
      <c r="S34" s="1">
        <v>29.297536999999998</v>
      </c>
      <c r="V34" s="37">
        <v>37500</v>
      </c>
      <c r="W34">
        <f t="shared" si="5"/>
        <v>0.18132062601164362</v>
      </c>
      <c r="X34">
        <f t="shared" si="6"/>
        <v>0.10391009496840067</v>
      </c>
      <c r="Y34">
        <f t="shared" si="8"/>
        <v>9.268083586645802E-2</v>
      </c>
      <c r="Z34">
        <f t="shared" si="9"/>
        <v>0.24620582061965193</v>
      </c>
      <c r="AA34">
        <f t="shared" si="10"/>
        <v>6.2661941765978862E-2</v>
      </c>
      <c r="AB34">
        <f t="shared" si="11"/>
        <v>4.2799052019660319E-2</v>
      </c>
      <c r="AC34">
        <f t="shared" si="12"/>
        <v>2.5663443460497579E-2</v>
      </c>
      <c r="AD34">
        <f t="shared" si="13"/>
        <v>-1.0404734818705427E-2</v>
      </c>
      <c r="AE34">
        <f t="shared" si="14"/>
        <v>-9.1823852944188447E-3</v>
      </c>
      <c r="AF34">
        <f t="shared" si="15"/>
        <v>9.4762748136533806E-2</v>
      </c>
      <c r="AG34">
        <f t="shared" si="16"/>
        <v>0.16645261093326325</v>
      </c>
      <c r="AH34">
        <f t="shared" si="17"/>
        <v>6.5126135774854751E-2</v>
      </c>
      <c r="AI34">
        <f t="shared" si="18"/>
        <v>4.7965023595193779E-2</v>
      </c>
      <c r="AJ34">
        <f t="shared" si="7"/>
        <v>0.10193640827651952</v>
      </c>
      <c r="AK34">
        <f t="shared" si="1"/>
        <v>0.10827603651666019</v>
      </c>
      <c r="AL34">
        <f t="shared" si="2"/>
        <v>0.21531701192718142</v>
      </c>
      <c r="AM34">
        <f t="shared" si="3"/>
        <v>0.22245067193428406</v>
      </c>
      <c r="AN34">
        <f t="shared" si="4"/>
        <v>0.35379881933419866</v>
      </c>
    </row>
    <row r="35" spans="1:40">
      <c r="A35" s="37">
        <v>37530</v>
      </c>
      <c r="B35" s="1">
        <v>12.029017</v>
      </c>
      <c r="C35" s="1">
        <v>20.0839</v>
      </c>
      <c r="D35" s="1">
        <v>10.726768</v>
      </c>
      <c r="E35" s="1">
        <v>214.59066799999999</v>
      </c>
      <c r="F35" s="1">
        <v>9.0469480000000004</v>
      </c>
      <c r="G35" s="1">
        <v>8.0182789999999997</v>
      </c>
      <c r="H35" s="1">
        <v>14.942183</v>
      </c>
      <c r="I35" s="1">
        <v>23.720931999999998</v>
      </c>
      <c r="J35" s="1">
        <v>17.851665000000001</v>
      </c>
      <c r="K35" s="1">
        <v>11.963298</v>
      </c>
      <c r="L35" s="1">
        <v>22.901565999999999</v>
      </c>
      <c r="M35" s="1">
        <v>36.256751999999999</v>
      </c>
      <c r="N35" s="1">
        <v>13.213267</v>
      </c>
      <c r="O35" s="1">
        <v>3.9022289999999997</v>
      </c>
      <c r="P35" s="1">
        <v>0.240978</v>
      </c>
      <c r="Q35" s="1">
        <v>0.96799999999999997</v>
      </c>
      <c r="R35" s="1">
        <v>16.361791999999998</v>
      </c>
      <c r="S35" s="1">
        <v>39.662970999999999</v>
      </c>
      <c r="V35" s="37">
        <v>37530</v>
      </c>
      <c r="W35">
        <f t="shared" si="5"/>
        <v>4.5227718939959978E-2</v>
      </c>
      <c r="X35">
        <f t="shared" si="6"/>
        <v>4.0120693689970153E-3</v>
      </c>
      <c r="Y35">
        <f t="shared" si="8"/>
        <v>0.23427121757457595</v>
      </c>
      <c r="Z35">
        <f t="shared" si="9"/>
        <v>5.7365728504093168E-2</v>
      </c>
      <c r="AA35">
        <f t="shared" si="10"/>
        <v>5.7798607884117288E-2</v>
      </c>
      <c r="AB35">
        <f t="shared" si="11"/>
        <v>6.4495635534757526E-2</v>
      </c>
      <c r="AC35">
        <f t="shared" si="12"/>
        <v>0.10260836719775154</v>
      </c>
      <c r="AD35">
        <f t="shared" si="13"/>
        <v>-3.9965756826080771E-2</v>
      </c>
      <c r="AE35">
        <f t="shared" si="14"/>
        <v>0.11028747178484467</v>
      </c>
      <c r="AF35">
        <f t="shared" si="15"/>
        <v>-7.5544385837417825E-3</v>
      </c>
      <c r="AG35">
        <f t="shared" si="16"/>
        <v>7.3011470045323615E-2</v>
      </c>
      <c r="AH35">
        <f t="shared" si="17"/>
        <v>-7.6430177750063735E-3</v>
      </c>
      <c r="AI35">
        <f t="shared" si="18"/>
        <v>-8.4406301636075307E-2</v>
      </c>
      <c r="AJ35">
        <f t="shared" si="7"/>
        <v>0.12336667069000823</v>
      </c>
      <c r="AK35">
        <f t="shared" si="1"/>
        <v>-3.5467968030276617E-2</v>
      </c>
      <c r="AL35">
        <f t="shared" si="2"/>
        <v>0.20609504132231407</v>
      </c>
      <c r="AM35">
        <f t="shared" si="3"/>
        <v>7.8736302233887417E-2</v>
      </c>
      <c r="AN35">
        <f t="shared" si="4"/>
        <v>0.10108902331093647</v>
      </c>
    </row>
    <row r="36" spans="1:40">
      <c r="A36" s="37">
        <v>37561</v>
      </c>
      <c r="B36" s="1">
        <v>12.573062</v>
      </c>
      <c r="C36" s="1">
        <v>20.164477999999999</v>
      </c>
      <c r="D36" s="1">
        <v>13.239740999999999</v>
      </c>
      <c r="E36" s="1">
        <v>226.90081799999999</v>
      </c>
      <c r="F36" s="1">
        <v>9.5698489999999996</v>
      </c>
      <c r="G36" s="1">
        <v>8.5354229999999998</v>
      </c>
      <c r="H36" s="1">
        <v>16.475376000000001</v>
      </c>
      <c r="I36" s="1">
        <v>22.772907</v>
      </c>
      <c r="J36" s="1">
        <v>19.82048</v>
      </c>
      <c r="K36" s="1">
        <v>11.872921999999999</v>
      </c>
      <c r="L36" s="1">
        <v>24.573643000000001</v>
      </c>
      <c r="M36" s="1">
        <v>35.979641000000001</v>
      </c>
      <c r="N36" s="1">
        <v>12.097984</v>
      </c>
      <c r="O36" s="1">
        <v>4.3836339999999998</v>
      </c>
      <c r="P36" s="1">
        <v>0.232431</v>
      </c>
      <c r="Q36" s="1">
        <v>1.1675</v>
      </c>
      <c r="R36" s="1">
        <v>17.650058999999999</v>
      </c>
      <c r="S36" s="1">
        <v>43.672461999999996</v>
      </c>
      <c r="V36" s="37">
        <v>37561</v>
      </c>
      <c r="W36">
        <f t="shared" si="5"/>
        <v>-0.15843260774503468</v>
      </c>
      <c r="X36">
        <f t="shared" si="6"/>
        <v>-7.2773021944828294E-3</v>
      </c>
      <c r="Y36">
        <f t="shared" si="8"/>
        <v>-4.6484217478272312E-2</v>
      </c>
      <c r="Z36">
        <f t="shared" si="9"/>
        <v>-9.4907445419610548E-2</v>
      </c>
      <c r="AA36">
        <f t="shared" si="10"/>
        <v>3.1906250558394474E-2</v>
      </c>
      <c r="AB36">
        <f t="shared" si="11"/>
        <v>-0.1199510557356091</v>
      </c>
      <c r="AC36">
        <f t="shared" si="12"/>
        <v>-0.10361626951639841</v>
      </c>
      <c r="AD36">
        <f t="shared" si="13"/>
        <v>1.6680435220676887E-2</v>
      </c>
      <c r="AE36">
        <f t="shared" si="14"/>
        <v>-3.0359557387106696E-2</v>
      </c>
      <c r="AF36">
        <f t="shared" si="15"/>
        <v>-2.6678521091943439E-2</v>
      </c>
      <c r="AG36">
        <f t="shared" si="16"/>
        <v>-9.1959950748857211E-2</v>
      </c>
      <c r="AH36">
        <f t="shared" si="17"/>
        <v>-4.5329607374348234E-2</v>
      </c>
      <c r="AI36">
        <f t="shared" si="18"/>
        <v>1.9996802773090096E-2</v>
      </c>
      <c r="AJ36">
        <f t="shared" si="7"/>
        <v>7.4454208540221173E-3</v>
      </c>
      <c r="AK36">
        <f t="shared" si="1"/>
        <v>-7.5484767522404517E-2</v>
      </c>
      <c r="AL36">
        <f t="shared" si="2"/>
        <v>-0.19100642398286935</v>
      </c>
      <c r="AM36">
        <f t="shared" si="3"/>
        <v>-0.10367500754530054</v>
      </c>
      <c r="AN36">
        <f t="shared" si="4"/>
        <v>-0.1067345596408098</v>
      </c>
    </row>
    <row r="37" spans="1:40">
      <c r="A37" s="37">
        <v>37591</v>
      </c>
      <c r="B37" s="1">
        <v>10.581078999999999</v>
      </c>
      <c r="C37" s="1">
        <v>20.017734999999998</v>
      </c>
      <c r="D37" s="1">
        <v>12.624302</v>
      </c>
      <c r="E37" s="1">
        <v>205.366241</v>
      </c>
      <c r="F37" s="1">
        <v>9.8751870000000004</v>
      </c>
      <c r="G37" s="1">
        <v>7.51159</v>
      </c>
      <c r="H37" s="1">
        <v>14.768258999999999</v>
      </c>
      <c r="I37" s="1">
        <v>23.152768999999999</v>
      </c>
      <c r="J37" s="1">
        <v>19.218738999999999</v>
      </c>
      <c r="K37" s="1">
        <v>11.55617</v>
      </c>
      <c r="L37" s="1">
        <v>22.313852000000001</v>
      </c>
      <c r="M37" s="1">
        <v>34.348697999999999</v>
      </c>
      <c r="N37" s="1">
        <v>12.339905</v>
      </c>
      <c r="O37" s="1">
        <v>4.4162720000000002</v>
      </c>
      <c r="P37" s="1">
        <v>0.21488599999999999</v>
      </c>
      <c r="Q37" s="1">
        <v>0.94450000000000001</v>
      </c>
      <c r="R37" s="1">
        <v>15.820188999999999</v>
      </c>
      <c r="S37" s="1">
        <v>39.011100999999996</v>
      </c>
      <c r="V37" s="37">
        <v>37591</v>
      </c>
      <c r="W37">
        <f t="shared" si="5"/>
        <v>-2.7934958240081149E-2</v>
      </c>
      <c r="X37">
        <f t="shared" si="6"/>
        <v>1.6285159135136888E-2</v>
      </c>
      <c r="Y37">
        <f t="shared" si="8"/>
        <v>-2.7500055052548721E-2</v>
      </c>
      <c r="Z37">
        <f t="shared" si="9"/>
        <v>-2.3870106284898166E-2</v>
      </c>
      <c r="AA37">
        <f t="shared" si="10"/>
        <v>3.0543117816401729E-2</v>
      </c>
      <c r="AB37">
        <f t="shared" si="11"/>
        <v>-9.5271573661501838E-2</v>
      </c>
      <c r="AC37">
        <f t="shared" si="12"/>
        <v>-7.5316122232146634E-2</v>
      </c>
      <c r="AD37">
        <f t="shared" si="13"/>
        <v>-4.3053165692621617E-3</v>
      </c>
      <c r="AE37">
        <f t="shared" si="14"/>
        <v>-0.23019096101986714</v>
      </c>
      <c r="AF37">
        <f t="shared" si="15"/>
        <v>-6.8694039634239557E-3</v>
      </c>
      <c r="AG37">
        <f t="shared" si="16"/>
        <v>7.3520699160323872E-3</v>
      </c>
      <c r="AH37">
        <f t="shared" si="17"/>
        <v>6.8007905277807007E-2</v>
      </c>
      <c r="AI37">
        <f t="shared" si="18"/>
        <v>1.0667667214617845E-2</v>
      </c>
      <c r="AJ37">
        <f t="shared" si="7"/>
        <v>-3.357130176764526E-3</v>
      </c>
      <c r="AK37">
        <f t="shared" si="1"/>
        <v>2.0941336336476363E-3</v>
      </c>
      <c r="AL37">
        <f t="shared" si="2"/>
        <v>0.1566966649020646</v>
      </c>
      <c r="AM37">
        <f t="shared" si="3"/>
        <v>-8.2011915281163875E-2</v>
      </c>
      <c r="AN37">
        <f t="shared" si="4"/>
        <v>9.0320957616654637E-3</v>
      </c>
    </row>
    <row r="38" spans="1:40">
      <c r="A38" s="37">
        <v>37622</v>
      </c>
      <c r="B38" s="1">
        <v>10.285496999999999</v>
      </c>
      <c r="C38" s="1">
        <v>20.343726999999998</v>
      </c>
      <c r="D38" s="1">
        <v>12.277132999999999</v>
      </c>
      <c r="E38" s="1">
        <v>200.46412699999999</v>
      </c>
      <c r="F38" s="1">
        <v>10.176805999999999</v>
      </c>
      <c r="G38" s="1">
        <v>6.7959489999999994</v>
      </c>
      <c r="H38" s="1">
        <v>13.655970999999999</v>
      </c>
      <c r="I38" s="1">
        <v>23.053089</v>
      </c>
      <c r="J38" s="1">
        <v>14.794758999999999</v>
      </c>
      <c r="K38" s="1">
        <v>11.476785999999999</v>
      </c>
      <c r="L38" s="1">
        <v>22.477905</v>
      </c>
      <c r="M38" s="1">
        <v>36.684680999999998</v>
      </c>
      <c r="N38" s="1">
        <v>12.471542999999999</v>
      </c>
      <c r="O38" s="1">
        <v>4.401446</v>
      </c>
      <c r="P38" s="1">
        <v>0.215336</v>
      </c>
      <c r="Q38" s="1">
        <v>1.0925</v>
      </c>
      <c r="R38" s="1">
        <v>14.522744999999999</v>
      </c>
      <c r="S38" s="1">
        <v>39.363453</v>
      </c>
      <c r="V38" s="37">
        <v>37622</v>
      </c>
      <c r="W38">
        <f t="shared" si="5"/>
        <v>-4.1649324286419945E-2</v>
      </c>
      <c r="X38">
        <f t="shared" si="6"/>
        <v>-1.1563023825476986E-2</v>
      </c>
      <c r="Y38">
        <f t="shared" si="8"/>
        <v>-1.4313846726267383E-2</v>
      </c>
      <c r="Z38">
        <f t="shared" si="9"/>
        <v>-2.3912178561503895E-2</v>
      </c>
      <c r="AA38">
        <f t="shared" si="10"/>
        <v>4.0980539473779963E-2</v>
      </c>
      <c r="AB38">
        <f t="shared" si="11"/>
        <v>-1.9984846855089597E-2</v>
      </c>
      <c r="AC38">
        <f t="shared" si="12"/>
        <v>-1.9431280280252448E-2</v>
      </c>
      <c r="AD38">
        <f t="shared" si="13"/>
        <v>-3.8774196377760986E-2</v>
      </c>
      <c r="AE38">
        <f t="shared" si="14"/>
        <v>-3.042814012718964E-2</v>
      </c>
      <c r="AF38">
        <f t="shared" si="15"/>
        <v>-1.3013660793187215E-2</v>
      </c>
      <c r="AG38">
        <f t="shared" si="16"/>
        <v>-5.488336212827663E-2</v>
      </c>
      <c r="AH38">
        <f t="shared" si="17"/>
        <v>-4.8730585935857031E-2</v>
      </c>
      <c r="AI38">
        <f t="shared" si="18"/>
        <v>-4.2642999346592367E-2</v>
      </c>
      <c r="AJ38">
        <f t="shared" si="7"/>
        <v>5.8188604381378344E-2</v>
      </c>
      <c r="AK38">
        <f t="shared" si="1"/>
        <v>4.5264145335661372E-2</v>
      </c>
      <c r="AL38">
        <f t="shared" si="2"/>
        <v>7.3226544622425694E-3</v>
      </c>
      <c r="AM38">
        <f t="shared" si="3"/>
        <v>-1.2642238089286488E-3</v>
      </c>
      <c r="AN38">
        <f t="shared" si="4"/>
        <v>-3.1971534611052637E-3</v>
      </c>
    </row>
    <row r="39" spans="1:40">
      <c r="A39" s="37">
        <v>37653</v>
      </c>
      <c r="B39" s="1">
        <v>9.857113</v>
      </c>
      <c r="C39" s="1">
        <v>20.108491999999998</v>
      </c>
      <c r="D39" s="1">
        <v>12.1014</v>
      </c>
      <c r="E39" s="1">
        <v>195.670593</v>
      </c>
      <c r="F39" s="1">
        <v>10.593857</v>
      </c>
      <c r="G39" s="1">
        <v>6.6601330000000001</v>
      </c>
      <c r="H39" s="1">
        <v>13.390618</v>
      </c>
      <c r="I39" s="1">
        <v>22.159223999999998</v>
      </c>
      <c r="J39" s="1">
        <v>14.344581999999999</v>
      </c>
      <c r="K39" s="1">
        <v>11.327430999999999</v>
      </c>
      <c r="L39" s="1">
        <v>21.244242</v>
      </c>
      <c r="M39" s="1">
        <v>34.897014999999996</v>
      </c>
      <c r="N39" s="1">
        <v>11.939719</v>
      </c>
      <c r="O39" s="1">
        <v>4.6575600000000001</v>
      </c>
      <c r="P39" s="1">
        <v>0.22508299999999998</v>
      </c>
      <c r="Q39" s="1">
        <v>1.1005</v>
      </c>
      <c r="R39" s="1">
        <v>14.504384999999999</v>
      </c>
      <c r="S39" s="1">
        <v>39.237601999999995</v>
      </c>
      <c r="V39" s="37">
        <v>37653</v>
      </c>
      <c r="W39">
        <f t="shared" si="5"/>
        <v>5.2580709990846117E-2</v>
      </c>
      <c r="X39">
        <f t="shared" si="6"/>
        <v>-3.4662569425892353E-2</v>
      </c>
      <c r="Y39">
        <f t="shared" si="8"/>
        <v>4.5414828036425547E-2</v>
      </c>
      <c r="Z39">
        <f t="shared" si="9"/>
        <v>3.3293648780427641E-2</v>
      </c>
      <c r="AA39">
        <f t="shared" si="10"/>
        <v>-2.7876815781070086E-2</v>
      </c>
      <c r="AB39">
        <f t="shared" si="11"/>
        <v>9.8823552022159242E-2</v>
      </c>
      <c r="AC39">
        <f t="shared" si="12"/>
        <v>-5.1232661554530247E-2</v>
      </c>
      <c r="AD39">
        <f t="shared" si="13"/>
        <v>8.7832859129002086E-2</v>
      </c>
      <c r="AE39">
        <f t="shared" si="14"/>
        <v>-7.0515125501739925E-2</v>
      </c>
      <c r="AF39">
        <f t="shared" si="15"/>
        <v>4.4936137770338308E-2</v>
      </c>
      <c r="AG39">
        <f t="shared" si="16"/>
        <v>-1.0422871289076872E-2</v>
      </c>
      <c r="AH39">
        <f t="shared" si="17"/>
        <v>-6.868048742850924E-2</v>
      </c>
      <c r="AI39">
        <f t="shared" si="18"/>
        <v>-1.5687973896203688E-3</v>
      </c>
      <c r="AJ39">
        <f t="shared" si="7"/>
        <v>-1.7294892604711471E-2</v>
      </c>
      <c r="AK39">
        <f t="shared" si="1"/>
        <v>-5.7960841111945265E-2</v>
      </c>
      <c r="AL39">
        <f t="shared" si="2"/>
        <v>0.18264425261244874</v>
      </c>
      <c r="AM39">
        <f t="shared" si="3"/>
        <v>2.4803257773425132E-2</v>
      </c>
      <c r="AN39">
        <f t="shared" si="4"/>
        <v>8.1149964261322503E-3</v>
      </c>
    </row>
    <row r="40" spans="1:40">
      <c r="A40" s="37">
        <v>37681</v>
      </c>
      <c r="B40" s="1">
        <v>10.375406999999999</v>
      </c>
      <c r="C40" s="1">
        <v>19.411479999999997</v>
      </c>
      <c r="D40" s="1">
        <v>12.650983</v>
      </c>
      <c r="E40" s="1">
        <v>202.185181</v>
      </c>
      <c r="F40" s="1">
        <v>10.298534</v>
      </c>
      <c r="G40" s="1">
        <v>7.3183109999999996</v>
      </c>
      <c r="H40" s="1">
        <v>12.704580999999999</v>
      </c>
      <c r="I40" s="1">
        <v>24.105532</v>
      </c>
      <c r="J40" s="1">
        <v>13.333072</v>
      </c>
      <c r="K40" s="1">
        <v>11.836442</v>
      </c>
      <c r="L40" s="1">
        <v>21.022815999999999</v>
      </c>
      <c r="M40" s="1">
        <v>32.500270999999998</v>
      </c>
      <c r="N40" s="1">
        <v>11.920987999999999</v>
      </c>
      <c r="O40" s="1">
        <v>4.5770080000000002</v>
      </c>
      <c r="P40" s="1">
        <v>0.212037</v>
      </c>
      <c r="Q40" s="1">
        <v>1.3014999999999999</v>
      </c>
      <c r="R40" s="1">
        <v>14.864141</v>
      </c>
      <c r="S40" s="1">
        <v>39.556014999999995</v>
      </c>
      <c r="V40" s="37">
        <v>37681</v>
      </c>
      <c r="W40">
        <f t="shared" si="5"/>
        <v>0.200514350906909</v>
      </c>
      <c r="X40">
        <f t="shared" si="6"/>
        <v>0.11838788181014551</v>
      </c>
      <c r="Y40">
        <f t="shared" si="8"/>
        <v>0.23787440074814736</v>
      </c>
      <c r="Z40">
        <f t="shared" si="9"/>
        <v>0.13933238756998709</v>
      </c>
      <c r="AA40">
        <f t="shared" si="10"/>
        <v>2.1237585854452564E-2</v>
      </c>
      <c r="AB40">
        <f t="shared" si="11"/>
        <v>9.2791219176118656E-2</v>
      </c>
      <c r="AC40">
        <f t="shared" si="12"/>
        <v>0.12769724558409282</v>
      </c>
      <c r="AD40">
        <f t="shared" si="13"/>
        <v>8.9833736090121144E-3</v>
      </c>
      <c r="AE40">
        <f t="shared" si="14"/>
        <v>1.1943534093268175E-2</v>
      </c>
      <c r="AF40">
        <f t="shared" si="15"/>
        <v>-1.3157416730466828E-2</v>
      </c>
      <c r="AG40">
        <f t="shared" si="16"/>
        <v>0.13933176221491925</v>
      </c>
      <c r="AH40">
        <f t="shared" si="17"/>
        <v>7.4855591204147295E-2</v>
      </c>
      <c r="AI40">
        <f t="shared" si="18"/>
        <v>7.2682482358005826E-2</v>
      </c>
      <c r="AJ40">
        <f t="shared" si="7"/>
        <v>7.7802136242715716E-2</v>
      </c>
      <c r="AK40">
        <f t="shared" si="1"/>
        <v>5.659389634827784E-3</v>
      </c>
      <c r="AL40">
        <f t="shared" si="2"/>
        <v>0.10218978102189782</v>
      </c>
      <c r="AM40">
        <f t="shared" si="3"/>
        <v>5.6175260985481743E-2</v>
      </c>
      <c r="AN40">
        <f t="shared" si="4"/>
        <v>8.249420473725684E-2</v>
      </c>
    </row>
    <row r="41" spans="1:40">
      <c r="A41" s="37">
        <v>37712</v>
      </c>
      <c r="B41" s="1">
        <v>12.455824999999999</v>
      </c>
      <c r="C41" s="1">
        <v>21.709564</v>
      </c>
      <c r="D41" s="1">
        <v>15.660328</v>
      </c>
      <c r="E41" s="1">
        <v>230.35612499999999</v>
      </c>
      <c r="F41" s="1">
        <v>10.517249999999999</v>
      </c>
      <c r="G41" s="1">
        <v>7.9973859999999997</v>
      </c>
      <c r="H41" s="1">
        <v>14.326920999999999</v>
      </c>
      <c r="I41" s="1">
        <v>24.322080999999997</v>
      </c>
      <c r="J41" s="1">
        <v>13.492315999999999</v>
      </c>
      <c r="K41" s="1">
        <v>11.680705</v>
      </c>
      <c r="L41" s="1">
        <v>23.951961999999998</v>
      </c>
      <c r="M41" s="1">
        <v>34.933098000000001</v>
      </c>
      <c r="N41" s="1">
        <v>12.787434999999999</v>
      </c>
      <c r="O41" s="1">
        <v>4.933109</v>
      </c>
      <c r="P41" s="1">
        <v>0.21323699999999998</v>
      </c>
      <c r="Q41" s="1">
        <v>1.4344999999999999</v>
      </c>
      <c r="R41" s="1">
        <v>15.699138</v>
      </c>
      <c r="S41" s="1">
        <v>42.819156999999997</v>
      </c>
      <c r="V41" s="37">
        <v>37712</v>
      </c>
      <c r="W41">
        <f t="shared" si="5"/>
        <v>2.9621642885958966E-2</v>
      </c>
      <c r="X41">
        <f t="shared" si="6"/>
        <v>2.0256509987946845E-3</v>
      </c>
      <c r="Y41">
        <f t="shared" si="8"/>
        <v>0.13552436449606931</v>
      </c>
      <c r="Z41">
        <f t="shared" si="9"/>
        <v>4.5095727322206042E-2</v>
      </c>
      <c r="AA41">
        <f t="shared" si="10"/>
        <v>5.0914069742565883E-2</v>
      </c>
      <c r="AB41">
        <f t="shared" si="11"/>
        <v>6.1397686694127408E-2</v>
      </c>
      <c r="AC41">
        <f t="shared" si="12"/>
        <v>-8.1764253463810308E-3</v>
      </c>
      <c r="AD41">
        <f t="shared" si="13"/>
        <v>2.6605207013330922E-2</v>
      </c>
      <c r="AE41">
        <f t="shared" si="14"/>
        <v>0.16354545802218093</v>
      </c>
      <c r="AF41">
        <f t="shared" si="15"/>
        <v>8.7796926640986428E-3</v>
      </c>
      <c r="AG41">
        <f t="shared" si="16"/>
        <v>0.10299481938055845</v>
      </c>
      <c r="AH41">
        <f t="shared" si="17"/>
        <v>3.2773131086169277E-2</v>
      </c>
      <c r="AI41">
        <f t="shared" si="18"/>
        <v>8.2846950932701543E-4</v>
      </c>
      <c r="AJ41">
        <f t="shared" si="7"/>
        <v>9.1139684932970186E-2</v>
      </c>
      <c r="AK41">
        <f t="shared" si="1"/>
        <v>0.26230438432354602</v>
      </c>
      <c r="AL41">
        <f t="shared" si="2"/>
        <v>0.25095852213314751</v>
      </c>
      <c r="AM41">
        <f t="shared" si="3"/>
        <v>-3.7543717368431317E-2</v>
      </c>
      <c r="AN41">
        <f t="shared" si="4"/>
        <v>3.6984754277156785E-2</v>
      </c>
    </row>
    <row r="42" spans="1:40">
      <c r="A42" s="37">
        <v>37742</v>
      </c>
      <c r="B42" s="1">
        <v>12.824786999999999</v>
      </c>
      <c r="C42" s="1">
        <v>21.753539999999997</v>
      </c>
      <c r="D42" s="1">
        <v>17.782684</v>
      </c>
      <c r="E42" s="1">
        <v>240.744202</v>
      </c>
      <c r="F42" s="1">
        <v>11.052726</v>
      </c>
      <c r="G42" s="1">
        <v>8.4884070000000005</v>
      </c>
      <c r="H42" s="1">
        <v>14.209778</v>
      </c>
      <c r="I42" s="1">
        <v>24.969175</v>
      </c>
      <c r="J42" s="1">
        <v>15.698922999999999</v>
      </c>
      <c r="K42" s="1">
        <v>11.783258</v>
      </c>
      <c r="L42" s="1">
        <v>26.418889999999998</v>
      </c>
      <c r="M42" s="1">
        <v>36.077964999999999</v>
      </c>
      <c r="N42" s="1">
        <v>12.798029</v>
      </c>
      <c r="O42" s="1">
        <v>5.3827109999999996</v>
      </c>
      <c r="P42" s="1">
        <v>0.26916999999999996</v>
      </c>
      <c r="Q42" s="1">
        <v>1.7945</v>
      </c>
      <c r="R42" s="1">
        <v>15.109734</v>
      </c>
      <c r="S42" s="1">
        <v>44.402812999999995</v>
      </c>
      <c r="V42" s="37">
        <v>37742</v>
      </c>
      <c r="W42">
        <f t="shared" si="5"/>
        <v>3.7088413242262891E-2</v>
      </c>
      <c r="X42">
        <f t="shared" si="6"/>
        <v>6.5094370847227731E-2</v>
      </c>
      <c r="Y42">
        <f t="shared" si="8"/>
        <v>4.0170763873440055E-2</v>
      </c>
      <c r="Z42">
        <f t="shared" si="9"/>
        <v>4.8736887129684547E-2</v>
      </c>
      <c r="AA42">
        <f t="shared" si="10"/>
        <v>9.6047074721656869E-2</v>
      </c>
      <c r="AB42">
        <f t="shared" si="11"/>
        <v>0.1338467865643104</v>
      </c>
      <c r="AC42">
        <f t="shared" si="12"/>
        <v>4.6485384922973418E-2</v>
      </c>
      <c r="AD42">
        <f t="shared" si="13"/>
        <v>-2.8751931131084704E-2</v>
      </c>
      <c r="AE42">
        <f t="shared" si="14"/>
        <v>-3.6327332773082111E-3</v>
      </c>
      <c r="AF42">
        <f t="shared" si="15"/>
        <v>0.10588616492993699</v>
      </c>
      <c r="AG42">
        <f t="shared" si="16"/>
        <v>3.6001512554085474E-3</v>
      </c>
      <c r="AH42">
        <f t="shared" si="17"/>
        <v>-4.7152437783006845E-2</v>
      </c>
      <c r="AI42">
        <f t="shared" si="18"/>
        <v>4.9988088009489597E-2</v>
      </c>
      <c r="AJ42">
        <f t="shared" si="7"/>
        <v>7.9254858750544194E-2</v>
      </c>
      <c r="AK42">
        <f t="shared" si="1"/>
        <v>6.1838243489244799E-2</v>
      </c>
      <c r="AL42">
        <f t="shared" si="2"/>
        <v>1.1981053218166539E-2</v>
      </c>
      <c r="AM42">
        <f t="shared" si="3"/>
        <v>4.1852358221527872E-2</v>
      </c>
      <c r="AN42">
        <f t="shared" si="4"/>
        <v>-6.1209635524668092E-2</v>
      </c>
    </row>
    <row r="43" spans="1:40">
      <c r="A43" s="37">
        <v>37773</v>
      </c>
      <c r="B43" s="1">
        <v>13.300438</v>
      </c>
      <c r="C43" s="1">
        <v>23.169573</v>
      </c>
      <c r="D43" s="1">
        <v>18.497028</v>
      </c>
      <c r="E43" s="1">
        <v>252.47732499999998</v>
      </c>
      <c r="F43" s="1">
        <v>12.114307999999999</v>
      </c>
      <c r="G43" s="1">
        <v>9.6245529999999988</v>
      </c>
      <c r="H43" s="1">
        <v>14.870324999999999</v>
      </c>
      <c r="I43" s="1">
        <v>24.251262999999998</v>
      </c>
      <c r="J43" s="1">
        <v>15.641893</v>
      </c>
      <c r="K43" s="1">
        <v>13.030942</v>
      </c>
      <c r="L43" s="1">
        <v>26.514001999999998</v>
      </c>
      <c r="M43" s="1">
        <v>34.376801</v>
      </c>
      <c r="N43" s="1">
        <v>13.437778</v>
      </c>
      <c r="O43" s="1">
        <v>5.8093170000000001</v>
      </c>
      <c r="P43" s="1">
        <v>0.28581499999999999</v>
      </c>
      <c r="Q43" s="1">
        <v>1.8159999999999998</v>
      </c>
      <c r="R43" s="1">
        <v>15.742111999999999</v>
      </c>
      <c r="S43" s="1">
        <v>41.684933000000001</v>
      </c>
      <c r="V43" s="37">
        <v>37773</v>
      </c>
      <c r="W43">
        <f t="shared" si="5"/>
        <v>1.1029561582859067E-2</v>
      </c>
      <c r="X43">
        <f t="shared" si="6"/>
        <v>5.3699953814427263E-2</v>
      </c>
      <c r="Y43">
        <f t="shared" si="8"/>
        <v>2.5454035102287803E-2</v>
      </c>
      <c r="Z43">
        <f t="shared" si="9"/>
        <v>4.6728727025288318E-2</v>
      </c>
      <c r="AA43">
        <f t="shared" si="10"/>
        <v>3.1491687350193327E-4</v>
      </c>
      <c r="AB43">
        <f t="shared" si="11"/>
        <v>8.9503065752768049E-2</v>
      </c>
      <c r="AC43">
        <f t="shared" si="12"/>
        <v>0.11648877882628651</v>
      </c>
      <c r="AD43">
        <f t="shared" si="13"/>
        <v>-1.4689296800748094E-2</v>
      </c>
      <c r="AE43">
        <f t="shared" si="14"/>
        <v>2.6448716916807943E-2</v>
      </c>
      <c r="AF43">
        <f t="shared" si="15"/>
        <v>-2.3133170265050646E-2</v>
      </c>
      <c r="AG43">
        <f t="shared" si="16"/>
        <v>5.6446099687252137E-2</v>
      </c>
      <c r="AH43">
        <f t="shared" si="17"/>
        <v>-1.9780141846240971E-2</v>
      </c>
      <c r="AI43">
        <f t="shared" si="18"/>
        <v>2.5796675611102068E-3</v>
      </c>
      <c r="AJ43">
        <f t="shared" si="7"/>
        <v>-3.1909258868125109E-2</v>
      </c>
      <c r="AK43">
        <f t="shared" si="1"/>
        <v>0.10598114164756928</v>
      </c>
      <c r="AL43">
        <f t="shared" si="2"/>
        <v>0.14647577092511016</v>
      </c>
      <c r="AM43">
        <f t="shared" si="3"/>
        <v>3.0031548498702144E-2</v>
      </c>
      <c r="AN43">
        <f t="shared" si="4"/>
        <v>-1.5151013916707172E-2</v>
      </c>
    </row>
    <row r="44" spans="1:40">
      <c r="A44" s="37">
        <v>37803</v>
      </c>
      <c r="B44" s="1">
        <v>13.447135999999999</v>
      </c>
      <c r="C44" s="1">
        <v>24.413778000000001</v>
      </c>
      <c r="D44" s="1">
        <v>18.967852000000001</v>
      </c>
      <c r="E44" s="1">
        <v>264.27526899999998</v>
      </c>
      <c r="F44" s="1">
        <v>12.118122999999999</v>
      </c>
      <c r="G44" s="1">
        <v>10.48598</v>
      </c>
      <c r="H44" s="1">
        <v>16.602550999999998</v>
      </c>
      <c r="I44" s="1">
        <v>23.895028999999997</v>
      </c>
      <c r="J44" s="1">
        <v>16.055600999999999</v>
      </c>
      <c r="K44" s="1">
        <v>12.729495</v>
      </c>
      <c r="L44" s="1">
        <v>28.010614</v>
      </c>
      <c r="M44" s="1">
        <v>33.696823000000002</v>
      </c>
      <c r="N44" s="1">
        <v>13.472443</v>
      </c>
      <c r="O44" s="1">
        <v>5.6239460000000001</v>
      </c>
      <c r="P44" s="1">
        <v>0.316106</v>
      </c>
      <c r="Q44" s="1">
        <v>2.0819999999999999</v>
      </c>
      <c r="R44" s="1">
        <v>16.214872</v>
      </c>
      <c r="S44" s="1">
        <v>41.053363999999995</v>
      </c>
      <c r="V44" s="37">
        <v>37803</v>
      </c>
      <c r="W44">
        <f t="shared" si="5"/>
        <v>-2.2148731149889425E-2</v>
      </c>
      <c r="X44">
        <f t="shared" si="6"/>
        <v>-4.0207951428082971E-2</v>
      </c>
      <c r="Y44">
        <f t="shared" si="8"/>
        <v>-1.387173413204622E-2</v>
      </c>
      <c r="Z44">
        <f t="shared" si="9"/>
        <v>-2.4819594450966279E-2</v>
      </c>
      <c r="AA44">
        <f t="shared" si="10"/>
        <v>6.0767661790526485E-2</v>
      </c>
      <c r="AB44">
        <f t="shared" si="11"/>
        <v>9.222628690880591E-2</v>
      </c>
      <c r="AC44">
        <f t="shared" si="12"/>
        <v>0.11283952688957258</v>
      </c>
      <c r="AD44">
        <f t="shared" si="13"/>
        <v>-1.4813541343682689E-3</v>
      </c>
      <c r="AE44">
        <f t="shared" si="14"/>
        <v>6.8479404788397605E-2</v>
      </c>
      <c r="AF44">
        <f t="shared" si="15"/>
        <v>-0.10311799486154007</v>
      </c>
      <c r="AG44">
        <f t="shared" si="16"/>
        <v>2.2368270827622598E-2</v>
      </c>
      <c r="AH44">
        <f t="shared" si="17"/>
        <v>-4.7086931607767833E-3</v>
      </c>
      <c r="AI44">
        <f t="shared" si="18"/>
        <v>-7.7187188693246915E-3</v>
      </c>
      <c r="AJ44">
        <f t="shared" si="7"/>
        <v>5.8956647165531104E-2</v>
      </c>
      <c r="AK44">
        <f t="shared" si="1"/>
        <v>7.2580083895908309E-2</v>
      </c>
      <c r="AL44">
        <f t="shared" si="2"/>
        <v>0.11239193083573487</v>
      </c>
      <c r="AM44">
        <f t="shared" si="3"/>
        <v>4.1649419125848438E-3</v>
      </c>
      <c r="AN44">
        <f t="shared" si="4"/>
        <v>9.3529972355006034E-3</v>
      </c>
    </row>
    <row r="45" spans="1:40">
      <c r="A45" s="37">
        <v>37834</v>
      </c>
      <c r="B45" s="1">
        <v>13.149298999999999</v>
      </c>
      <c r="C45" s="1">
        <v>23.43215</v>
      </c>
      <c r="D45" s="1">
        <v>18.704734999999999</v>
      </c>
      <c r="E45" s="1">
        <v>257.71606399999996</v>
      </c>
      <c r="F45" s="1">
        <v>12.854512999999999</v>
      </c>
      <c r="G45" s="1">
        <v>11.453063</v>
      </c>
      <c r="H45" s="1">
        <v>18.475974999999998</v>
      </c>
      <c r="I45" s="1">
        <v>23.859631999999998</v>
      </c>
      <c r="J45" s="1">
        <v>17.155079000000001</v>
      </c>
      <c r="K45" s="1">
        <v>11.416855</v>
      </c>
      <c r="L45" s="1">
        <v>28.637162999999997</v>
      </c>
      <c r="M45" s="1">
        <v>33.538154999999996</v>
      </c>
      <c r="N45" s="1">
        <v>13.368452999999999</v>
      </c>
      <c r="O45" s="1">
        <v>5.9555150000000001</v>
      </c>
      <c r="P45" s="1">
        <v>0.33904899999999999</v>
      </c>
      <c r="Q45" s="1">
        <v>2.3159999999999998</v>
      </c>
      <c r="R45" s="1">
        <v>16.282405999999998</v>
      </c>
      <c r="S45" s="1">
        <v>41.437335999999995</v>
      </c>
      <c r="V45" s="37">
        <v>37834</v>
      </c>
      <c r="W45">
        <f t="shared" si="5"/>
        <v>6.3360031587995705E-2</v>
      </c>
      <c r="X45">
        <f t="shared" si="6"/>
        <v>-1.5267954498413505E-2</v>
      </c>
      <c r="Y45">
        <f t="shared" si="8"/>
        <v>3.2145336461597224E-3</v>
      </c>
      <c r="Z45">
        <f t="shared" si="9"/>
        <v>4.9826878467304429E-2</v>
      </c>
      <c r="AA45">
        <f t="shared" si="10"/>
        <v>3.489187027155366E-2</v>
      </c>
      <c r="AB45">
        <f t="shared" si="11"/>
        <v>-4.1189068810675494E-2</v>
      </c>
      <c r="AC45">
        <f t="shared" si="12"/>
        <v>-5.6627268655645942E-2</v>
      </c>
      <c r="AD45">
        <f t="shared" si="13"/>
        <v>6.3351354287442499E-2</v>
      </c>
      <c r="AE45">
        <f t="shared" si="14"/>
        <v>-1.6111963110167018E-2</v>
      </c>
      <c r="AF45">
        <f t="shared" si="15"/>
        <v>2.0029684181852192E-2</v>
      </c>
      <c r="AG45">
        <f t="shared" si="16"/>
        <v>2.2187952067744099E-4</v>
      </c>
      <c r="AH45">
        <f t="shared" si="17"/>
        <v>-1.7660721050397545E-2</v>
      </c>
      <c r="AI45">
        <f t="shared" si="18"/>
        <v>3.649771592868678E-2</v>
      </c>
      <c r="AJ45">
        <f t="shared" si="7"/>
        <v>3.545789071138161E-3</v>
      </c>
      <c r="AK45">
        <f t="shared" si="1"/>
        <v>-8.359263705246138E-2</v>
      </c>
      <c r="AL45">
        <f t="shared" si="2"/>
        <v>4.5552677029361034E-2</v>
      </c>
      <c r="AM45">
        <f t="shared" si="3"/>
        <v>4.8265409915463534E-2</v>
      </c>
      <c r="AN45">
        <f t="shared" si="4"/>
        <v>7.9226618236268948E-2</v>
      </c>
    </row>
    <row r="46" spans="1:40">
      <c r="A46" s="37">
        <v>37865</v>
      </c>
      <c r="B46" s="1">
        <v>13.982438999999999</v>
      </c>
      <c r="C46" s="1">
        <v>23.074389</v>
      </c>
      <c r="D46" s="1">
        <v>18.764862000000001</v>
      </c>
      <c r="E46" s="1">
        <v>270.55725100000001</v>
      </c>
      <c r="F46" s="1">
        <v>13.303030999999999</v>
      </c>
      <c r="G46" s="1">
        <v>10.981321999999999</v>
      </c>
      <c r="H46" s="1">
        <v>17.429731</v>
      </c>
      <c r="I46" s="1">
        <v>25.371171999999998</v>
      </c>
      <c r="J46" s="1">
        <v>16.878677</v>
      </c>
      <c r="K46" s="1">
        <v>11.645531</v>
      </c>
      <c r="L46" s="1">
        <v>28.643516999999999</v>
      </c>
      <c r="M46" s="1">
        <v>32.945847000000001</v>
      </c>
      <c r="N46" s="1">
        <v>13.856370999999999</v>
      </c>
      <c r="O46" s="1">
        <v>5.9766319999999995</v>
      </c>
      <c r="P46" s="1">
        <v>0.31070700000000001</v>
      </c>
      <c r="Q46" s="1">
        <v>2.4215</v>
      </c>
      <c r="R46" s="1">
        <v>17.068283000000001</v>
      </c>
      <c r="S46" s="1">
        <v>44.720275999999998</v>
      </c>
      <c r="V46" s="37">
        <v>37865</v>
      </c>
      <c r="W46">
        <f t="shared" si="5"/>
        <v>0.11290354994575692</v>
      </c>
      <c r="X46">
        <f t="shared" si="6"/>
        <v>-1.9727282919604058E-2</v>
      </c>
      <c r="Y46">
        <f t="shared" si="8"/>
        <v>4.5732923588779908E-2</v>
      </c>
      <c r="Z46">
        <f t="shared" si="9"/>
        <v>4.152997917620016E-2</v>
      </c>
      <c r="AA46">
        <f t="shared" si="10"/>
        <v>8.5217421503415366E-2</v>
      </c>
      <c r="AB46">
        <f t="shared" si="11"/>
        <v>0.13821350471282065</v>
      </c>
      <c r="AC46">
        <f t="shared" si="12"/>
        <v>0.14181813821452541</v>
      </c>
      <c r="AD46">
        <f t="shared" si="13"/>
        <v>5.8932082443806731E-2</v>
      </c>
      <c r="AE46">
        <f t="shared" si="14"/>
        <v>0.1294044551003613</v>
      </c>
      <c r="AF46">
        <f t="shared" si="15"/>
        <v>4.01581516549138E-2</v>
      </c>
      <c r="AG46">
        <f t="shared" si="16"/>
        <v>4.1500176113149718E-2</v>
      </c>
      <c r="AH46">
        <f t="shared" si="17"/>
        <v>9.3649132772333887E-2</v>
      </c>
      <c r="AI46">
        <f t="shared" si="18"/>
        <v>9.3592037915266588E-2</v>
      </c>
      <c r="AJ46">
        <f t="shared" si="7"/>
        <v>0.18973026948957211</v>
      </c>
      <c r="AK46">
        <f t="shared" si="1"/>
        <v>0.10473211095984315</v>
      </c>
      <c r="AL46">
        <f t="shared" si="2"/>
        <v>0.12389015073301665</v>
      </c>
      <c r="AM46">
        <f t="shared" si="3"/>
        <v>-5.9712391691654237E-2</v>
      </c>
      <c r="AN46">
        <f t="shared" si="4"/>
        <v>1.3019530559247873E-2</v>
      </c>
    </row>
    <row r="47" spans="1:40">
      <c r="A47" s="37">
        <v>37895</v>
      </c>
      <c r="B47" s="1">
        <v>15.561105999999999</v>
      </c>
      <c r="C47" s="1">
        <v>22.619194</v>
      </c>
      <c r="D47" s="1">
        <v>19.623034000000001</v>
      </c>
      <c r="E47" s="1">
        <v>281.79348799999997</v>
      </c>
      <c r="F47" s="1">
        <v>14.436681</v>
      </c>
      <c r="G47" s="1">
        <v>12.499089</v>
      </c>
      <c r="H47" s="1">
        <v>19.901582999999999</v>
      </c>
      <c r="I47" s="1">
        <v>26.866347999999999</v>
      </c>
      <c r="J47" s="1">
        <v>19.062853</v>
      </c>
      <c r="K47" s="1">
        <v>12.113194</v>
      </c>
      <c r="L47" s="1">
        <v>29.832227999999997</v>
      </c>
      <c r="M47" s="1">
        <v>36.031196999999999</v>
      </c>
      <c r="N47" s="1">
        <v>15.153217</v>
      </c>
      <c r="O47" s="1">
        <v>7.1105799999999997</v>
      </c>
      <c r="P47" s="1">
        <v>0.343248</v>
      </c>
      <c r="Q47" s="1">
        <v>2.7214999999999998</v>
      </c>
      <c r="R47" s="1">
        <v>16.049094999999998</v>
      </c>
      <c r="S47" s="1">
        <v>45.302512999999998</v>
      </c>
      <c r="V47" s="37">
        <v>37895</v>
      </c>
      <c r="W47">
        <f t="shared" si="5"/>
        <v>3.1884366059841712E-2</v>
      </c>
      <c r="X47">
        <f t="shared" si="6"/>
        <v>-3.9612817326736671E-3</v>
      </c>
      <c r="Y47">
        <f t="shared" si="8"/>
        <v>-4.3599272161482742E-3</v>
      </c>
      <c r="Z47">
        <f t="shared" si="9"/>
        <v>-4.5550023498056871E-4</v>
      </c>
      <c r="AA47">
        <f t="shared" si="10"/>
        <v>0.1006942662236562</v>
      </c>
      <c r="AB47">
        <f t="shared" si="11"/>
        <v>3.238692035875574E-2</v>
      </c>
      <c r="AC47">
        <f t="shared" si="12"/>
        <v>1.0062516132510671E-2</v>
      </c>
      <c r="AD47">
        <f t="shared" si="13"/>
        <v>-1.6180018214608138E-2</v>
      </c>
      <c r="AE47">
        <f t="shared" si="14"/>
        <v>-1.8896541876496673E-2</v>
      </c>
      <c r="AF47">
        <f t="shared" si="15"/>
        <v>6.234160866242211E-2</v>
      </c>
      <c r="AG47">
        <f t="shared" si="16"/>
        <v>-2.3829162206724892E-2</v>
      </c>
      <c r="AH47">
        <f t="shared" si="17"/>
        <v>-3.4294197886348333E-2</v>
      </c>
      <c r="AI47">
        <f t="shared" si="18"/>
        <v>1.7933287697259236E-2</v>
      </c>
      <c r="AJ47">
        <f t="shared" si="7"/>
        <v>-5.4070132112992234E-2</v>
      </c>
      <c r="AK47">
        <f t="shared" si="1"/>
        <v>-8.6500139840581802E-2</v>
      </c>
      <c r="AL47">
        <f t="shared" si="2"/>
        <v>-8.4512217527099517E-3</v>
      </c>
      <c r="AM47">
        <f t="shared" si="3"/>
        <v>-1.0931955976333721E-2</v>
      </c>
      <c r="AN47">
        <f t="shared" si="4"/>
        <v>1.1845877070881247E-2</v>
      </c>
    </row>
    <row r="48" spans="1:40">
      <c r="A48" s="37">
        <v>37926</v>
      </c>
      <c r="B48" s="1">
        <v>16.057261999999998</v>
      </c>
      <c r="C48" s="1">
        <v>22.529592999999998</v>
      </c>
      <c r="D48" s="1">
        <v>19.537478999999998</v>
      </c>
      <c r="E48" s="1">
        <v>281.66513099999997</v>
      </c>
      <c r="F48" s="1">
        <v>15.890371999999999</v>
      </c>
      <c r="G48" s="1">
        <v>12.903896</v>
      </c>
      <c r="H48" s="1">
        <v>20.101842999999999</v>
      </c>
      <c r="I48" s="1">
        <v>26.431649999999998</v>
      </c>
      <c r="J48" s="1">
        <v>18.702631</v>
      </c>
      <c r="K48" s="1">
        <v>12.86835</v>
      </c>
      <c r="L48" s="1">
        <v>29.121350999999997</v>
      </c>
      <c r="M48" s="1">
        <v>34.795535999999998</v>
      </c>
      <c r="N48" s="1">
        <v>15.424963999999999</v>
      </c>
      <c r="O48" s="1">
        <v>6.7261099999999994</v>
      </c>
      <c r="P48" s="1">
        <v>0.31355699999999997</v>
      </c>
      <c r="Q48" s="1">
        <v>2.6984999999999997</v>
      </c>
      <c r="R48" s="1">
        <v>15.873647</v>
      </c>
      <c r="S48" s="1">
        <v>45.839160999999997</v>
      </c>
      <c r="V48" s="37">
        <v>37926</v>
      </c>
      <c r="W48">
        <f t="shared" si="5"/>
        <v>2.1067352578540578E-2</v>
      </c>
      <c r="X48">
        <f t="shared" si="6"/>
        <v>6.6286683474486172E-2</v>
      </c>
      <c r="Y48">
        <f t="shared" si="8"/>
        <v>3.7570968086517324E-2</v>
      </c>
      <c r="Z48">
        <f t="shared" si="9"/>
        <v>3.2107446057992844E-2</v>
      </c>
      <c r="AA48">
        <f t="shared" si="10"/>
        <v>1.1388090851491704E-2</v>
      </c>
      <c r="AB48">
        <f t="shared" si="11"/>
        <v>-3.9926391223239939E-2</v>
      </c>
      <c r="AC48">
        <f t="shared" si="12"/>
        <v>6.2387712410250082E-2</v>
      </c>
      <c r="AD48">
        <f t="shared" si="13"/>
        <v>3.7821588890591458E-2</v>
      </c>
      <c r="AE48">
        <f t="shared" si="14"/>
        <v>0.16703179354819109</v>
      </c>
      <c r="AF48">
        <f t="shared" si="15"/>
        <v>5.7415674892274421E-2</v>
      </c>
      <c r="AG48">
        <f t="shared" si="16"/>
        <v>5.5129070076453582E-2</v>
      </c>
      <c r="AH48">
        <f t="shared" si="17"/>
        <v>4.4479584967451011E-2</v>
      </c>
      <c r="AI48">
        <f t="shared" si="18"/>
        <v>3.5536873862396019E-2</v>
      </c>
      <c r="AJ48">
        <f t="shared" si="7"/>
        <v>6.128921471697614E-2</v>
      </c>
      <c r="AK48">
        <f t="shared" si="1"/>
        <v>2.1996000727140478E-2</v>
      </c>
      <c r="AL48">
        <f t="shared" si="2"/>
        <v>-2.5013896609227312E-2</v>
      </c>
      <c r="AM48">
        <f t="shared" si="3"/>
        <v>6.4566699763450655E-2</v>
      </c>
      <c r="AN48">
        <f t="shared" si="4"/>
        <v>2.5490366195838613E-2</v>
      </c>
    </row>
    <row r="49" spans="1:40">
      <c r="A49" s="37">
        <v>37956</v>
      </c>
      <c r="B49" s="1">
        <v>16.395546</v>
      </c>
      <c r="C49" s="1">
        <v>24.023004999999998</v>
      </c>
      <c r="D49" s="1">
        <v>20.271521</v>
      </c>
      <c r="E49" s="1">
        <v>290.70867899999996</v>
      </c>
      <c r="F49" s="1">
        <v>16.071332999999999</v>
      </c>
      <c r="G49" s="1">
        <v>12.388689999999999</v>
      </c>
      <c r="H49" s="1">
        <v>21.355950999999997</v>
      </c>
      <c r="I49" s="1">
        <v>27.431336999999999</v>
      </c>
      <c r="J49" s="1">
        <v>21.826564999999999</v>
      </c>
      <c r="K49" s="1">
        <v>13.607194999999999</v>
      </c>
      <c r="L49" s="1">
        <v>30.726783999999999</v>
      </c>
      <c r="M49" s="1">
        <v>36.343226999999999</v>
      </c>
      <c r="N49" s="1">
        <v>15.973118999999999</v>
      </c>
      <c r="O49" s="1">
        <v>7.1383479999999997</v>
      </c>
      <c r="P49" s="1">
        <v>0.32045399999999996</v>
      </c>
      <c r="Q49" s="1">
        <v>2.6309999999999998</v>
      </c>
      <c r="R49" s="1">
        <v>16.898555999999999</v>
      </c>
      <c r="S49" s="1">
        <v>47.007618000000001</v>
      </c>
      <c r="V49" s="37">
        <v>37956</v>
      </c>
      <c r="W49">
        <f t="shared" si="5"/>
        <v>1.0178557030061614E-2</v>
      </c>
      <c r="X49">
        <f t="shared" si="6"/>
        <v>2.3494021667980324E-2</v>
      </c>
      <c r="Y49">
        <f t="shared" si="8"/>
        <v>5.8807575415776553E-2</v>
      </c>
      <c r="Z49">
        <f t="shared" si="9"/>
        <v>1.9365854570857335E-2</v>
      </c>
      <c r="AA49">
        <f t="shared" si="10"/>
        <v>5.254218800643351E-2</v>
      </c>
      <c r="AB49">
        <f t="shared" si="11"/>
        <v>1.0112852932796096E-2</v>
      </c>
      <c r="AC49">
        <f t="shared" si="12"/>
        <v>-3.4360305471762845E-2</v>
      </c>
      <c r="AD49">
        <f t="shared" si="13"/>
        <v>1.2014616713724179E-2</v>
      </c>
      <c r="AE49">
        <f t="shared" si="14"/>
        <v>2.6440257548539155E-4</v>
      </c>
      <c r="AF49">
        <f t="shared" si="15"/>
        <v>3.6795827501553427E-2</v>
      </c>
      <c r="AG49">
        <f t="shared" si="16"/>
        <v>7.7071033532178382E-2</v>
      </c>
      <c r="AH49">
        <f t="shared" si="17"/>
        <v>1.6949017763337376E-2</v>
      </c>
      <c r="AI49">
        <f t="shared" si="18"/>
        <v>-2.5132098496229754E-2</v>
      </c>
      <c r="AJ49">
        <f t="shared" si="7"/>
        <v>-1.1040509652933699E-2</v>
      </c>
      <c r="AK49">
        <f t="shared" si="1"/>
        <v>5.5686619608430542E-2</v>
      </c>
      <c r="AL49">
        <f t="shared" si="2"/>
        <v>-4.2189281641961146E-2</v>
      </c>
      <c r="AM49">
        <f t="shared" si="3"/>
        <v>1.0229749808208533E-2</v>
      </c>
      <c r="AN49">
        <f t="shared" si="4"/>
        <v>7.0673183227450365E-2</v>
      </c>
    </row>
    <row r="50" spans="1:40">
      <c r="A50" s="37">
        <v>37987</v>
      </c>
      <c r="B50" s="1">
        <v>16.562428999999998</v>
      </c>
      <c r="C50" s="1">
        <v>24.587401999999997</v>
      </c>
      <c r="D50" s="1">
        <v>21.463639999999998</v>
      </c>
      <c r="E50" s="1">
        <v>296.33850100000001</v>
      </c>
      <c r="F50" s="1">
        <v>16.915755999999998</v>
      </c>
      <c r="G50" s="1">
        <v>12.513975</v>
      </c>
      <c r="H50" s="1">
        <v>20.622153999999998</v>
      </c>
      <c r="I50" s="1">
        <v>27.760914</v>
      </c>
      <c r="J50" s="1">
        <v>21.832335999999998</v>
      </c>
      <c r="K50" s="1">
        <v>14.107882999999999</v>
      </c>
      <c r="L50" s="1">
        <v>33.094929</v>
      </c>
      <c r="M50" s="1">
        <v>36.959209000000001</v>
      </c>
      <c r="N50" s="1">
        <v>15.571681</v>
      </c>
      <c r="O50" s="1">
        <v>7.0595369999999997</v>
      </c>
      <c r="P50" s="1">
        <v>0.33829899999999996</v>
      </c>
      <c r="Q50" s="1">
        <v>2.52</v>
      </c>
      <c r="R50" s="1">
        <v>17.071424</v>
      </c>
      <c r="S50" s="1">
        <v>50.329795999999995</v>
      </c>
      <c r="V50" s="37">
        <v>37987</v>
      </c>
      <c r="W50">
        <f t="shared" si="5"/>
        <v>3.5403019689925867E-3</v>
      </c>
      <c r="X50">
        <f t="shared" si="6"/>
        <v>5.6466315554608536E-3</v>
      </c>
      <c r="Y50">
        <f t="shared" si="8"/>
        <v>6.4624080538063414E-2</v>
      </c>
      <c r="Z50">
        <f t="shared" si="9"/>
        <v>2.4084332531600389E-2</v>
      </c>
      <c r="AA50">
        <f t="shared" si="10"/>
        <v>-6.2801863540713071E-2</v>
      </c>
      <c r="AB50">
        <f t="shared" si="11"/>
        <v>0.10299037675878354</v>
      </c>
      <c r="AC50">
        <f t="shared" si="12"/>
        <v>2.6038356613959951E-2</v>
      </c>
      <c r="AD50">
        <f t="shared" si="13"/>
        <v>1.8845164824184094E-2</v>
      </c>
      <c r="AE50">
        <f t="shared" si="14"/>
        <v>2.243951357289492E-2</v>
      </c>
      <c r="AF50">
        <f t="shared" si="15"/>
        <v>5.4621944341334957E-4</v>
      </c>
      <c r="AG50">
        <f t="shared" si="16"/>
        <v>3.0477992564963519E-2</v>
      </c>
      <c r="AH50">
        <f t="shared" si="17"/>
        <v>-6.0904956055742428E-2</v>
      </c>
      <c r="AI50">
        <f t="shared" si="18"/>
        <v>-1.0450381047492549E-3</v>
      </c>
      <c r="AJ50">
        <f t="shared" si="7"/>
        <v>2.5978049268670127E-2</v>
      </c>
      <c r="AK50">
        <f t="shared" si="1"/>
        <v>6.0283949996896312E-2</v>
      </c>
      <c r="AL50">
        <f t="shared" si="2"/>
        <v>-0.14662698412698411</v>
      </c>
      <c r="AM50">
        <f t="shared" si="3"/>
        <v>-4.0505935532970314E-2</v>
      </c>
      <c r="AN50">
        <f t="shared" si="4"/>
        <v>-2.7511416895073339E-2</v>
      </c>
    </row>
    <row r="51" spans="1:40">
      <c r="A51" s="37">
        <v>38018</v>
      </c>
      <c r="B51" s="1">
        <v>16.621064999999998</v>
      </c>
      <c r="C51" s="1">
        <v>24.726237999999999</v>
      </c>
      <c r="D51" s="1">
        <v>22.850707999999997</v>
      </c>
      <c r="E51" s="1">
        <v>303.475616</v>
      </c>
      <c r="F51" s="1">
        <v>15.853415</v>
      </c>
      <c r="G51" s="1">
        <v>13.802793999999999</v>
      </c>
      <c r="H51" s="1">
        <v>21.159120999999999</v>
      </c>
      <c r="I51" s="1">
        <v>28.284072999999999</v>
      </c>
      <c r="J51" s="1">
        <v>22.322243</v>
      </c>
      <c r="K51" s="1">
        <v>14.115589</v>
      </c>
      <c r="L51" s="1">
        <v>34.103595999999996</v>
      </c>
      <c r="M51" s="1">
        <v>34.708210000000001</v>
      </c>
      <c r="N51" s="1">
        <v>15.555408</v>
      </c>
      <c r="O51" s="1">
        <v>7.2429299999999994</v>
      </c>
      <c r="P51" s="1">
        <v>0.35869299999999998</v>
      </c>
      <c r="Q51" s="1">
        <v>2.1505000000000001</v>
      </c>
      <c r="R51" s="1">
        <v>16.379929999999998</v>
      </c>
      <c r="S51" s="1">
        <v>48.945152</v>
      </c>
      <c r="V51" s="37">
        <v>38018</v>
      </c>
      <c r="W51">
        <f t="shared" si="5"/>
        <v>7.0541207798659449E-3</v>
      </c>
      <c r="X51">
        <f t="shared" si="6"/>
        <v>-1.1474652957720478E-2</v>
      </c>
      <c r="Y51">
        <f t="shared" si="8"/>
        <v>2.2672382842579813E-2</v>
      </c>
      <c r="Z51">
        <f t="shared" si="9"/>
        <v>2.8650618176848726E-2</v>
      </c>
      <c r="AA51">
        <f t="shared" si="10"/>
        <v>2.537787599706438E-2</v>
      </c>
      <c r="AB51">
        <f t="shared" si="11"/>
        <v>3.2079519552345774E-2</v>
      </c>
      <c r="AC51">
        <f t="shared" si="12"/>
        <v>7.9090998156303383E-2</v>
      </c>
      <c r="AD51">
        <f t="shared" si="13"/>
        <v>2.3119407166004725E-2</v>
      </c>
      <c r="AE51">
        <f t="shared" si="14"/>
        <v>0.10198786922980813</v>
      </c>
      <c r="AF51">
        <f t="shared" si="15"/>
        <v>-3.9363642565676954E-2</v>
      </c>
      <c r="AG51">
        <f t="shared" si="16"/>
        <v>-2.9389217488970869E-2</v>
      </c>
      <c r="AH51">
        <f t="shared" si="17"/>
        <v>-2.8489714681339099E-2</v>
      </c>
      <c r="AI51">
        <f t="shared" si="18"/>
        <v>-4.1248034124209817E-3</v>
      </c>
      <c r="AJ51">
        <f t="shared" si="7"/>
        <v>4.7065897364740601E-2</v>
      </c>
      <c r="AK51">
        <f t="shared" si="1"/>
        <v>0.13043466139567819</v>
      </c>
      <c r="AL51">
        <f t="shared" si="2"/>
        <v>6.2776098581723431E-3</v>
      </c>
      <c r="AM51">
        <f t="shared" si="3"/>
        <v>-6.0309293141057263E-2</v>
      </c>
      <c r="AN51">
        <f t="shared" si="4"/>
        <v>-4.6747020011297588E-2</v>
      </c>
    </row>
    <row r="52" spans="1:40">
      <c r="A52" s="37">
        <v>38047</v>
      </c>
      <c r="B52" s="1">
        <v>16.738312000000001</v>
      </c>
      <c r="C52" s="1">
        <v>24.442512999999998</v>
      </c>
      <c r="D52" s="1">
        <v>23.368787999999999</v>
      </c>
      <c r="E52" s="1">
        <v>312.17037999999997</v>
      </c>
      <c r="F52" s="1">
        <v>16.255741</v>
      </c>
      <c r="G52" s="1">
        <v>14.245581</v>
      </c>
      <c r="H52" s="1">
        <v>22.832616999999999</v>
      </c>
      <c r="I52" s="1">
        <v>28.937984</v>
      </c>
      <c r="J52" s="1">
        <v>24.598841</v>
      </c>
      <c r="K52" s="1">
        <v>13.559947999999999</v>
      </c>
      <c r="L52" s="1">
        <v>33.101317999999999</v>
      </c>
      <c r="M52" s="1">
        <v>33.719383000000001</v>
      </c>
      <c r="N52" s="1">
        <v>15.491244999999999</v>
      </c>
      <c r="O52" s="1">
        <v>7.583825</v>
      </c>
      <c r="P52" s="1">
        <v>0.40547899999999998</v>
      </c>
      <c r="Q52" s="1">
        <v>2.1639999999999997</v>
      </c>
      <c r="R52" s="1">
        <v>15.392068</v>
      </c>
      <c r="S52" s="1">
        <v>46.657111999999998</v>
      </c>
      <c r="V52" s="37">
        <v>38047</v>
      </c>
      <c r="W52">
        <f t="shared" si="5"/>
        <v>1.2175062813980161E-2</v>
      </c>
      <c r="X52">
        <f t="shared" si="6"/>
        <v>3.6821091186491285E-3</v>
      </c>
      <c r="Y52">
        <f t="shared" si="8"/>
        <v>-0.10369497981666828</v>
      </c>
      <c r="Z52">
        <f t="shared" si="9"/>
        <v>-6.9825215319915881E-2</v>
      </c>
      <c r="AA52">
        <f t="shared" si="10"/>
        <v>-8.9768593138879402E-2</v>
      </c>
      <c r="AB52">
        <f t="shared" si="11"/>
        <v>-9.1226254653987107E-2</v>
      </c>
      <c r="AC52">
        <f t="shared" si="12"/>
        <v>-1.4278739927184028E-2</v>
      </c>
      <c r="AD52">
        <f t="shared" si="13"/>
        <v>8.6768311158095125E-3</v>
      </c>
      <c r="AE52">
        <f t="shared" si="14"/>
        <v>2.7729761739587262E-3</v>
      </c>
      <c r="AF52">
        <f t="shared" si="15"/>
        <v>2.0257304821523003E-2</v>
      </c>
      <c r="AG52">
        <f t="shared" si="16"/>
        <v>-5.4108630961462074E-2</v>
      </c>
      <c r="AH52">
        <f t="shared" si="17"/>
        <v>3.6425725820665077E-2</v>
      </c>
      <c r="AI52">
        <f t="shared" si="18"/>
        <v>-3.7057705820287231E-3</v>
      </c>
      <c r="AJ52">
        <f t="shared" si="7"/>
        <v>-7.3062735492973568E-2</v>
      </c>
      <c r="AK52">
        <f t="shared" si="1"/>
        <v>-4.6599207357224406E-2</v>
      </c>
      <c r="AL52">
        <f t="shared" si="2"/>
        <v>7.3937153419593423E-3</v>
      </c>
      <c r="AM52">
        <f t="shared" si="3"/>
        <v>4.8134597638212068E-2</v>
      </c>
      <c r="AN52">
        <f t="shared" si="4"/>
        <v>-3.9961131756290486E-2</v>
      </c>
    </row>
    <row r="53" spans="1:40">
      <c r="A53" s="37">
        <v>38078</v>
      </c>
      <c r="B53" s="1">
        <v>16.942101999999998</v>
      </c>
      <c r="C53" s="1">
        <v>24.532512999999998</v>
      </c>
      <c r="D53" s="1">
        <v>20.945561999999999</v>
      </c>
      <c r="E53" s="1">
        <v>290.37301600000001</v>
      </c>
      <c r="F53" s="1">
        <v>14.796486</v>
      </c>
      <c r="G53" s="1">
        <v>12.946009999999999</v>
      </c>
      <c r="H53" s="1">
        <v>22.506595999999998</v>
      </c>
      <c r="I53" s="1">
        <v>29.189073999999998</v>
      </c>
      <c r="J53" s="1">
        <v>24.667052999999999</v>
      </c>
      <c r="K53" s="1">
        <v>13.834636</v>
      </c>
      <c r="L53" s="1">
        <v>31.310250999999997</v>
      </c>
      <c r="M53" s="1">
        <v>34.947635999999996</v>
      </c>
      <c r="N53" s="1">
        <v>15.433838</v>
      </c>
      <c r="O53" s="1">
        <v>7.0297299999999998</v>
      </c>
      <c r="P53" s="1">
        <v>0.38658399999999998</v>
      </c>
      <c r="Q53" s="1">
        <v>2.1799999999999997</v>
      </c>
      <c r="R53" s="1">
        <v>16.132959</v>
      </c>
      <c r="S53" s="1">
        <v>44.792640999999996</v>
      </c>
      <c r="V53" s="37">
        <v>38078</v>
      </c>
      <c r="W53">
        <f t="shared" si="5"/>
        <v>-2.815736795823803E-2</v>
      </c>
      <c r="X53">
        <f t="shared" si="6"/>
        <v>3.2799045087635426E-2</v>
      </c>
      <c r="Y53">
        <f t="shared" si="8"/>
        <v>-1.2266035162961963E-2</v>
      </c>
      <c r="Z53">
        <f t="shared" si="9"/>
        <v>-2.6478035410838641E-2</v>
      </c>
      <c r="AA53">
        <f t="shared" si="10"/>
        <v>3.4464872267645191E-2</v>
      </c>
      <c r="AB53">
        <f t="shared" si="11"/>
        <v>-2.6326489783338677E-2</v>
      </c>
      <c r="AC53">
        <f t="shared" si="12"/>
        <v>-3.4391473504034015E-2</v>
      </c>
      <c r="AD53">
        <f t="shared" si="13"/>
        <v>2.4084045968707363E-2</v>
      </c>
      <c r="AE53">
        <f t="shared" si="14"/>
        <v>2.446546816922144E-2</v>
      </c>
      <c r="AF53">
        <f t="shared" si="15"/>
        <v>-1.1745520445930044E-2</v>
      </c>
      <c r="AG53">
        <f t="shared" si="16"/>
        <v>3.5750463961467444E-2</v>
      </c>
      <c r="AH53">
        <f t="shared" si="17"/>
        <v>1.7899837345221308E-2</v>
      </c>
      <c r="AI53">
        <f t="shared" si="18"/>
        <v>4.1445426600953017E-2</v>
      </c>
      <c r="AJ53">
        <f t="shared" si="7"/>
        <v>3.9987026528757158E-2</v>
      </c>
      <c r="AK53">
        <f t="shared" si="1"/>
        <v>8.8441321937793596E-2</v>
      </c>
      <c r="AL53">
        <f t="shared" si="2"/>
        <v>0.11238532110091749</v>
      </c>
      <c r="AM53">
        <f t="shared" si="3"/>
        <v>3.8273821931860386E-3</v>
      </c>
      <c r="AN53">
        <f t="shared" si="4"/>
        <v>4.7633494082208972E-3</v>
      </c>
    </row>
    <row r="54" spans="1:40">
      <c r="A54" s="37">
        <v>38108</v>
      </c>
      <c r="B54" s="1">
        <v>16.465056999999998</v>
      </c>
      <c r="C54" s="1">
        <v>25.337156</v>
      </c>
      <c r="D54" s="1">
        <v>20.688642999999999</v>
      </c>
      <c r="E54" s="1">
        <v>282.68450899999999</v>
      </c>
      <c r="F54" s="1">
        <v>15.306445</v>
      </c>
      <c r="G54" s="1">
        <v>12.605186999999999</v>
      </c>
      <c r="H54" s="1">
        <v>21.732561</v>
      </c>
      <c r="I54" s="1">
        <v>29.892064999999999</v>
      </c>
      <c r="J54" s="1">
        <v>25.270543999999997</v>
      </c>
      <c r="K54" s="1">
        <v>13.672141</v>
      </c>
      <c r="L54" s="1">
        <v>32.429606999999997</v>
      </c>
      <c r="M54" s="1">
        <v>35.573192999999996</v>
      </c>
      <c r="N54" s="1">
        <v>16.073499999999999</v>
      </c>
      <c r="O54" s="1">
        <v>7.3108279999999999</v>
      </c>
      <c r="P54" s="1">
        <v>0.42077399999999998</v>
      </c>
      <c r="Q54" s="1">
        <v>2.4249999999999998</v>
      </c>
      <c r="R54" s="1">
        <v>16.194706</v>
      </c>
      <c r="S54" s="1">
        <v>45.006003999999997</v>
      </c>
      <c r="V54" s="37">
        <v>38108</v>
      </c>
      <c r="W54">
        <f t="shared" si="5"/>
        <v>-1.9409468184653108E-2</v>
      </c>
      <c r="X54">
        <f t="shared" si="6"/>
        <v>1.7923558587238354E-2</v>
      </c>
      <c r="Y54">
        <f t="shared" si="8"/>
        <v>5.2388839616015356E-2</v>
      </c>
      <c r="Z54">
        <f t="shared" si="9"/>
        <v>1.5076100261298474E-3</v>
      </c>
      <c r="AA54">
        <f t="shared" si="10"/>
        <v>3.6615099064479045E-2</v>
      </c>
      <c r="AB54">
        <f t="shared" si="11"/>
        <v>2.91338795687839E-2</v>
      </c>
      <c r="AC54">
        <f t="shared" si="12"/>
        <v>6.758020833347711E-2</v>
      </c>
      <c r="AD54">
        <f t="shared" si="13"/>
        <v>9.8305687479268537E-3</v>
      </c>
      <c r="AE54">
        <f t="shared" si="14"/>
        <v>4.6611897234978494E-2</v>
      </c>
      <c r="AF54">
        <f t="shared" si="15"/>
        <v>-2.5380150775215129E-2</v>
      </c>
      <c r="AG54">
        <f t="shared" si="16"/>
        <v>1.3412650976621468E-2</v>
      </c>
      <c r="AH54">
        <f t="shared" si="17"/>
        <v>-3.7972722887147078E-2</v>
      </c>
      <c r="AI54">
        <f t="shared" si="18"/>
        <v>-1.8962267085575673E-2</v>
      </c>
      <c r="AJ54">
        <f t="shared" si="7"/>
        <v>-4.0834088833713575E-2</v>
      </c>
      <c r="AK54">
        <f t="shared" si="1"/>
        <v>0.15965815378326612</v>
      </c>
      <c r="AL54">
        <f t="shared" si="2"/>
        <v>0.12164948453608246</v>
      </c>
      <c r="AM54">
        <f t="shared" si="3"/>
        <v>8.8829398940616644E-2</v>
      </c>
      <c r="AN54">
        <f t="shared" si="4"/>
        <v>-2.9494731414058096E-3</v>
      </c>
    </row>
    <row r="55" spans="1:40">
      <c r="A55" s="37">
        <v>38139</v>
      </c>
      <c r="B55" s="1">
        <v>16.145478999999998</v>
      </c>
      <c r="C55" s="1">
        <v>25.791287999999998</v>
      </c>
      <c r="D55" s="1">
        <v>21.772496999999998</v>
      </c>
      <c r="E55" s="1">
        <v>283.11068699999998</v>
      </c>
      <c r="F55" s="1">
        <v>15.866892</v>
      </c>
      <c r="G55" s="1">
        <v>12.972424999999999</v>
      </c>
      <c r="H55" s="1">
        <v>23.201252</v>
      </c>
      <c r="I55" s="1">
        <v>30.185920999999997</v>
      </c>
      <c r="J55" s="1">
        <v>26.448452</v>
      </c>
      <c r="K55" s="1">
        <v>13.325139999999999</v>
      </c>
      <c r="L55" s="1">
        <v>32.864573999999998</v>
      </c>
      <c r="M55" s="1">
        <v>34.222381999999996</v>
      </c>
      <c r="N55" s="1">
        <v>15.768709999999999</v>
      </c>
      <c r="O55" s="1">
        <v>7.0122969999999993</v>
      </c>
      <c r="P55" s="1">
        <v>0.487954</v>
      </c>
      <c r="Q55" s="1">
        <v>2.7199999999999998</v>
      </c>
      <c r="R55" s="1">
        <v>17.633271999999998</v>
      </c>
      <c r="S55" s="1">
        <v>44.873259999999995</v>
      </c>
      <c r="V55" s="37">
        <v>38139</v>
      </c>
      <c r="W55">
        <f t="shared" si="5"/>
        <v>-2.9833862470106914E-2</v>
      </c>
      <c r="X55">
        <f t="shared" si="6"/>
        <v>1.4381251529586253E-2</v>
      </c>
      <c r="Y55">
        <f t="shared" si="8"/>
        <v>-3.7142409527028457E-2</v>
      </c>
      <c r="Z55">
        <f t="shared" si="9"/>
        <v>-5.1828446165297831E-2</v>
      </c>
      <c r="AA55">
        <f t="shared" si="10"/>
        <v>4.0469425266145317E-2</v>
      </c>
      <c r="AB55">
        <f t="shared" si="11"/>
        <v>-2.1389832664286002E-2</v>
      </c>
      <c r="AC55">
        <f t="shared" si="12"/>
        <v>-0.10089627921803533</v>
      </c>
      <c r="AD55">
        <f t="shared" si="13"/>
        <v>-4.206421265065919E-2</v>
      </c>
      <c r="AE55">
        <f t="shared" si="14"/>
        <v>-6.4238731249753267E-2</v>
      </c>
      <c r="AF55">
        <f t="shared" si="15"/>
        <v>-6.7678088185189861E-2</v>
      </c>
      <c r="AG55">
        <f t="shared" si="16"/>
        <v>-2.0081927731666369E-2</v>
      </c>
      <c r="AH55">
        <f t="shared" si="17"/>
        <v>-6.9559886275595784E-2</v>
      </c>
      <c r="AI55">
        <f t="shared" si="18"/>
        <v>3.1445818966802908E-3</v>
      </c>
      <c r="AJ55">
        <f t="shared" si="7"/>
        <v>4.6866098227157225E-2</v>
      </c>
      <c r="AK55">
        <f t="shared" si="1"/>
        <v>-6.1460711460507127E-3</v>
      </c>
      <c r="AL55">
        <f t="shared" si="2"/>
        <v>-0.2845588235294117</v>
      </c>
      <c r="AM55">
        <f t="shared" si="3"/>
        <v>-2.4506512461214204E-3</v>
      </c>
      <c r="AN55">
        <f t="shared" si="4"/>
        <v>-1.2251527970109555E-2</v>
      </c>
    </row>
    <row r="56" spans="1:40">
      <c r="A56" s="37">
        <v>38169</v>
      </c>
      <c r="B56" s="1">
        <v>15.663796999999999</v>
      </c>
      <c r="C56" s="1">
        <v>26.162198999999998</v>
      </c>
      <c r="D56" s="1">
        <v>20.963813999999999</v>
      </c>
      <c r="E56" s="1">
        <v>268.4375</v>
      </c>
      <c r="F56" s="1">
        <v>16.509015999999999</v>
      </c>
      <c r="G56" s="1">
        <v>12.694946999999999</v>
      </c>
      <c r="H56" s="1">
        <v>20.860332</v>
      </c>
      <c r="I56" s="1">
        <v>28.916173999999998</v>
      </c>
      <c r="J56" s="1">
        <v>24.749437</v>
      </c>
      <c r="K56" s="1">
        <v>12.423319999999999</v>
      </c>
      <c r="L56" s="1">
        <v>32.204589999999996</v>
      </c>
      <c r="M56" s="1">
        <v>31.841877</v>
      </c>
      <c r="N56" s="1">
        <v>15.818296</v>
      </c>
      <c r="O56" s="1">
        <v>7.3409359999999992</v>
      </c>
      <c r="P56" s="1">
        <v>0.48495499999999997</v>
      </c>
      <c r="Q56" s="1">
        <v>1.946</v>
      </c>
      <c r="R56" s="1">
        <v>17.590059</v>
      </c>
      <c r="S56" s="1">
        <v>44.323493999999997</v>
      </c>
      <c r="V56" s="37">
        <v>38169</v>
      </c>
      <c r="W56">
        <f t="shared" si="5"/>
        <v>0.10526343006105089</v>
      </c>
      <c r="X56">
        <f t="shared" si="6"/>
        <v>5.8228744456840245E-2</v>
      </c>
      <c r="Y56">
        <f t="shared" si="8"/>
        <v>6.9654023833640222E-2</v>
      </c>
      <c r="Z56">
        <f t="shared" si="9"/>
        <v>6.6143634924330563E-2</v>
      </c>
      <c r="AA56">
        <f t="shared" si="10"/>
        <v>-8.6435193957047976E-3</v>
      </c>
      <c r="AB56">
        <f t="shared" si="11"/>
        <v>-9.4324222070403252E-2</v>
      </c>
      <c r="AC56">
        <f t="shared" si="12"/>
        <v>7.3228939980436846E-3</v>
      </c>
      <c r="AD56">
        <f t="shared" si="13"/>
        <v>7.8195925920213447E-2</v>
      </c>
      <c r="AE56">
        <f t="shared" si="14"/>
        <v>2.0283087651650312E-2</v>
      </c>
      <c r="AF56">
        <f t="shared" si="15"/>
        <v>2.2215559125902031E-2</v>
      </c>
      <c r="AG56">
        <f t="shared" si="16"/>
        <v>-4.5765215455312392E-3</v>
      </c>
      <c r="AH56">
        <f t="shared" si="17"/>
        <v>-2.3557373831950938E-2</v>
      </c>
      <c r="AI56">
        <f t="shared" si="18"/>
        <v>2.3341388983996732E-2</v>
      </c>
      <c r="AJ56">
        <f t="shared" si="7"/>
        <v>4.3191222481710818E-2</v>
      </c>
      <c r="AK56">
        <f t="shared" si="1"/>
        <v>6.6482457135198153E-2</v>
      </c>
      <c r="AL56">
        <f t="shared" si="2"/>
        <v>-2.0041109969167598E-2</v>
      </c>
      <c r="AM56">
        <f t="shared" si="3"/>
        <v>-4.1769388039005553E-2</v>
      </c>
      <c r="AN56">
        <f t="shared" si="4"/>
        <v>-2.7334126682341343E-2</v>
      </c>
    </row>
    <row r="57" spans="1:40">
      <c r="A57" s="37">
        <v>38200</v>
      </c>
      <c r="B57" s="1">
        <v>17.312621999999998</v>
      </c>
      <c r="C57" s="1">
        <v>27.685590999999999</v>
      </c>
      <c r="D57" s="1">
        <v>22.424028</v>
      </c>
      <c r="E57" s="1">
        <v>286.19293199999998</v>
      </c>
      <c r="F57" s="1">
        <v>16.366319999999998</v>
      </c>
      <c r="G57" s="1">
        <v>11.497506</v>
      </c>
      <c r="H57" s="1">
        <v>21.013089999999998</v>
      </c>
      <c r="I57" s="1">
        <v>31.177301</v>
      </c>
      <c r="J57" s="1">
        <v>25.251431999999998</v>
      </c>
      <c r="K57" s="1">
        <v>12.699311</v>
      </c>
      <c r="L57" s="1">
        <v>32.057204999999996</v>
      </c>
      <c r="M57" s="1">
        <v>31.091766</v>
      </c>
      <c r="N57" s="1">
        <v>16.187517</v>
      </c>
      <c r="O57" s="1">
        <v>7.6579999999999995</v>
      </c>
      <c r="P57" s="1">
        <v>0.51719599999999999</v>
      </c>
      <c r="Q57" s="1">
        <v>1.9069999999999998</v>
      </c>
      <c r="R57" s="1">
        <v>16.855332999999998</v>
      </c>
      <c r="S57" s="1">
        <v>43.11195</v>
      </c>
      <c r="V57" s="37">
        <v>38200</v>
      </c>
      <c r="W57">
        <f t="shared" si="5"/>
        <v>5.1437615861999547E-2</v>
      </c>
      <c r="X57">
        <f t="shared" si="6"/>
        <v>-3.6683161287761605E-2</v>
      </c>
      <c r="Y57">
        <f t="shared" si="8"/>
        <v>3.7896848862299876E-3</v>
      </c>
      <c r="Z57">
        <f t="shared" si="9"/>
        <v>-5.2812174271305835E-2</v>
      </c>
      <c r="AA57">
        <f t="shared" si="10"/>
        <v>6.7534607657677465E-2</v>
      </c>
      <c r="AB57">
        <f t="shared" si="11"/>
        <v>4.6774230863632499E-2</v>
      </c>
      <c r="AC57">
        <f t="shared" si="12"/>
        <v>2.0231198743259547E-2</v>
      </c>
      <c r="AD57">
        <f t="shared" si="13"/>
        <v>-3.30533101630575E-2</v>
      </c>
      <c r="AE57">
        <f t="shared" si="14"/>
        <v>-1.6875240976432466E-2</v>
      </c>
      <c r="AF57">
        <f t="shared" si="15"/>
        <v>-5.827583874432251E-2</v>
      </c>
      <c r="AG57">
        <f t="shared" si="16"/>
        <v>2.8787787332052284E-2</v>
      </c>
      <c r="AH57">
        <f t="shared" si="17"/>
        <v>-3.3765434874300823E-2</v>
      </c>
      <c r="AI57">
        <f t="shared" si="18"/>
        <v>2.3526338227165974E-2</v>
      </c>
      <c r="AJ57">
        <f t="shared" si="7"/>
        <v>4.3415643771219634E-2</v>
      </c>
      <c r="AK57">
        <f t="shared" si="1"/>
        <v>0.12351216946766784</v>
      </c>
      <c r="AL57">
        <f t="shared" si="2"/>
        <v>7.1316203460933356E-2</v>
      </c>
      <c r="AM57">
        <f t="shared" si="3"/>
        <v>1.5808112482856317E-2</v>
      </c>
      <c r="AN57">
        <f t="shared" si="4"/>
        <v>1.4541652604440321E-2</v>
      </c>
    </row>
    <row r="58" spans="1:40">
      <c r="A58" s="37">
        <v>38231</v>
      </c>
      <c r="B58" s="1">
        <v>18.203142</v>
      </c>
      <c r="C58" s="1">
        <v>26.669995999999998</v>
      </c>
      <c r="D58" s="1">
        <v>22.509007999999998</v>
      </c>
      <c r="E58" s="1">
        <v>271.078461</v>
      </c>
      <c r="F58" s="1">
        <v>17.471612999999998</v>
      </c>
      <c r="G58" s="1">
        <v>12.035292999999999</v>
      </c>
      <c r="H58" s="1">
        <v>21.438209999999998</v>
      </c>
      <c r="I58" s="1">
        <v>30.146787999999997</v>
      </c>
      <c r="J58" s="1">
        <v>24.825308</v>
      </c>
      <c r="K58" s="1">
        <v>11.959247999999999</v>
      </c>
      <c r="L58" s="1">
        <v>32.980060999999999</v>
      </c>
      <c r="M58" s="1">
        <v>30.041938999999999</v>
      </c>
      <c r="N58" s="1">
        <v>16.568349999999999</v>
      </c>
      <c r="O58" s="1">
        <v>7.9904769999999994</v>
      </c>
      <c r="P58" s="1">
        <v>0.58107599999999993</v>
      </c>
      <c r="Q58" s="1">
        <v>2.0429999999999997</v>
      </c>
      <c r="R58" s="1">
        <v>17.121783999999998</v>
      </c>
      <c r="S58" s="1">
        <v>43.738869000000001</v>
      </c>
      <c r="V58" s="37">
        <v>38231</v>
      </c>
      <c r="W58">
        <f t="shared" si="5"/>
        <v>1.9901838924291083E-2</v>
      </c>
      <c r="X58">
        <f t="shared" si="6"/>
        <v>4.4141138978798566E-2</v>
      </c>
      <c r="Y58">
        <f t="shared" si="8"/>
        <v>-2.8441813162090511E-2</v>
      </c>
      <c r="Z58">
        <f t="shared" si="9"/>
        <v>5.6665180786901123E-3</v>
      </c>
      <c r="AA58">
        <f t="shared" si="10"/>
        <v>8.2684523747177913E-2</v>
      </c>
      <c r="AB58">
        <f t="shared" si="11"/>
        <v>0.11384367626114292</v>
      </c>
      <c r="AC58">
        <f t="shared" si="12"/>
        <v>-6.9674520400723639E-2</v>
      </c>
      <c r="AD58">
        <f t="shared" si="13"/>
        <v>-5.4323996307666336E-2</v>
      </c>
      <c r="AE58">
        <f t="shared" si="14"/>
        <v>5.3610774939831574E-2</v>
      </c>
      <c r="AF58">
        <f t="shared" si="15"/>
        <v>-5.392128334490591E-2</v>
      </c>
      <c r="AG58">
        <f t="shared" si="16"/>
        <v>3.1286934247938387E-2</v>
      </c>
      <c r="AH58">
        <f t="shared" si="17"/>
        <v>2.4296800549391949E-2</v>
      </c>
      <c r="AI58">
        <f t="shared" si="18"/>
        <v>1.5087802949599735E-3</v>
      </c>
      <c r="AJ58">
        <f t="shared" si="7"/>
        <v>0.1184423658312264</v>
      </c>
      <c r="AK58">
        <f t="shared" si="1"/>
        <v>0.3522585685865533</v>
      </c>
      <c r="AL58">
        <f t="shared" si="2"/>
        <v>-0.16470876162506112</v>
      </c>
      <c r="AM58">
        <f t="shared" si="3"/>
        <v>1.1573793945771189E-2</v>
      </c>
      <c r="AN58">
        <f t="shared" si="4"/>
        <v>4.676883620378925E-2</v>
      </c>
    </row>
    <row r="59" spans="1:40">
      <c r="A59" s="37">
        <v>38261</v>
      </c>
      <c r="B59" s="1">
        <v>18.565417999999998</v>
      </c>
      <c r="C59" s="1">
        <v>27.847239999999999</v>
      </c>
      <c r="D59" s="1">
        <v>21.868810999999997</v>
      </c>
      <c r="E59" s="1">
        <v>272.614532</v>
      </c>
      <c r="F59" s="1">
        <v>18.916245</v>
      </c>
      <c r="G59" s="1">
        <v>13.405434999999999</v>
      </c>
      <c r="H59" s="1">
        <v>19.944513000000001</v>
      </c>
      <c r="I59" s="1">
        <v>28.509093999999997</v>
      </c>
      <c r="J59" s="1">
        <v>26.156212</v>
      </c>
      <c r="K59" s="1">
        <v>11.31439</v>
      </c>
      <c r="L59" s="1">
        <v>34.011905999999996</v>
      </c>
      <c r="M59" s="1">
        <v>30.771861999999999</v>
      </c>
      <c r="N59" s="1">
        <v>16.593347999999999</v>
      </c>
      <c r="O59" s="1">
        <v>8.9368879999999997</v>
      </c>
      <c r="P59" s="1">
        <v>0.78576499999999994</v>
      </c>
      <c r="Q59" s="1">
        <v>1.7064999999999999</v>
      </c>
      <c r="R59" s="1">
        <v>17.319948</v>
      </c>
      <c r="S59" s="1">
        <v>45.784484999999997</v>
      </c>
      <c r="V59" s="37">
        <v>38261</v>
      </c>
      <c r="W59">
        <f t="shared" si="5"/>
        <v>5.4739408506719468E-2</v>
      </c>
      <c r="X59">
        <f t="shared" si="6"/>
        <v>3.3043418306446179E-2</v>
      </c>
      <c r="Y59">
        <f t="shared" si="8"/>
        <v>-1.6320640385981605E-2</v>
      </c>
      <c r="Z59">
        <f t="shared" si="9"/>
        <v>1.7827651975647396E-2</v>
      </c>
      <c r="AA59">
        <f t="shared" si="10"/>
        <v>-1.9462953667601694E-2</v>
      </c>
      <c r="AB59">
        <f t="shared" si="11"/>
        <v>8.6224579806623319E-2</v>
      </c>
      <c r="AC59">
        <f t="shared" si="12"/>
        <v>0.19989979198790159</v>
      </c>
      <c r="AD59">
        <f t="shared" si="13"/>
        <v>4.9892500968287526E-2</v>
      </c>
      <c r="AE59">
        <f t="shared" si="14"/>
        <v>5.0314051591262517E-2</v>
      </c>
      <c r="AF59">
        <f t="shared" si="15"/>
        <v>-4.0759687442274858E-2</v>
      </c>
      <c r="AG59">
        <f t="shared" si="16"/>
        <v>5.2138183611350711E-2</v>
      </c>
      <c r="AH59">
        <f t="shared" si="17"/>
        <v>2.3720794016299666E-2</v>
      </c>
      <c r="AI59">
        <f t="shared" si="18"/>
        <v>3.4326948365091856E-2</v>
      </c>
      <c r="AJ59">
        <f t="shared" si="7"/>
        <v>7.4668049996813915E-4</v>
      </c>
      <c r="AK59">
        <f t="shared" si="1"/>
        <v>0.27958104522344474</v>
      </c>
      <c r="AL59">
        <f t="shared" si="2"/>
        <v>0.16261353647817176</v>
      </c>
      <c r="AM59">
        <f t="shared" si="3"/>
        <v>-4.1473276940554353E-2</v>
      </c>
      <c r="AN59">
        <f t="shared" si="4"/>
        <v>5.0028366596238889E-2</v>
      </c>
    </row>
    <row r="60" spans="1:40">
      <c r="A60" s="37">
        <v>38292</v>
      </c>
      <c r="B60" s="1">
        <v>19.581678</v>
      </c>
      <c r="C60" s="1">
        <v>28.767408</v>
      </c>
      <c r="D60" s="1">
        <v>21.511897999999999</v>
      </c>
      <c r="E60" s="1">
        <v>277.47460899999999</v>
      </c>
      <c r="F60" s="1">
        <v>18.548078999999998</v>
      </c>
      <c r="G60" s="1">
        <v>14.561313</v>
      </c>
      <c r="H60" s="1">
        <v>23.931417</v>
      </c>
      <c r="I60" s="1">
        <v>29.931483999999998</v>
      </c>
      <c r="J60" s="1">
        <v>27.472237</v>
      </c>
      <c r="K60" s="1">
        <v>10.853218999999999</v>
      </c>
      <c r="L60" s="1">
        <v>35.785224999999997</v>
      </c>
      <c r="M60" s="1">
        <v>31.501794999999998</v>
      </c>
      <c r="N60" s="1">
        <v>17.162946999999999</v>
      </c>
      <c r="O60" s="1">
        <v>8.943560999999999</v>
      </c>
      <c r="P60" s="1">
        <v>1.00545</v>
      </c>
      <c r="Q60" s="1">
        <v>1.984</v>
      </c>
      <c r="R60" s="1">
        <v>16.601633</v>
      </c>
      <c r="S60" s="1">
        <v>48.075007999999997</v>
      </c>
      <c r="V60" s="37">
        <v>38292</v>
      </c>
      <c r="W60">
        <f t="shared" si="5"/>
        <v>9.754924986510341E-2</v>
      </c>
      <c r="X60">
        <f t="shared" si="6"/>
        <v>1.5560143618083305E-2</v>
      </c>
      <c r="Y60">
        <f t="shared" si="8"/>
        <v>3.6121870789829848E-2</v>
      </c>
      <c r="Z60">
        <f t="shared" si="9"/>
        <v>7.6648036649724527E-2</v>
      </c>
      <c r="AA60">
        <f t="shared" si="10"/>
        <v>4.8453319613314158E-2</v>
      </c>
      <c r="AB60">
        <f t="shared" si="11"/>
        <v>5.4561631907781849E-2</v>
      </c>
      <c r="AC60">
        <f t="shared" si="12"/>
        <v>3.72231615035582E-2</v>
      </c>
      <c r="AD60">
        <f t="shared" si="13"/>
        <v>2.9916993089951705E-2</v>
      </c>
      <c r="AE60">
        <f t="shared" si="14"/>
        <v>5.3969394629203263E-2</v>
      </c>
      <c r="AF60">
        <f t="shared" si="15"/>
        <v>-2.5860161856127672E-2</v>
      </c>
      <c r="AG60">
        <f t="shared" si="16"/>
        <v>1.1847179946472377E-2</v>
      </c>
      <c r="AH60">
        <f t="shared" si="17"/>
        <v>-1.1029847664235765E-3</v>
      </c>
      <c r="AI60">
        <f t="shared" si="18"/>
        <v>1.4293524299760323E-2</v>
      </c>
      <c r="AJ60">
        <f t="shared" si="7"/>
        <v>3.6557809579428169E-2</v>
      </c>
      <c r="AK60">
        <f t="shared" si="1"/>
        <v>-3.9522601820080612E-2</v>
      </c>
      <c r="AL60">
        <f t="shared" si="2"/>
        <v>0.11617943548387082</v>
      </c>
      <c r="AM60">
        <f t="shared" si="3"/>
        <v>0.11079928101048844</v>
      </c>
      <c r="AN60">
        <f t="shared" si="4"/>
        <v>4.8074937397826312E-2</v>
      </c>
    </row>
    <row r="61" spans="1:40">
      <c r="A61" s="37">
        <v>38322</v>
      </c>
      <c r="B61" s="1">
        <v>21.491855999999999</v>
      </c>
      <c r="C61" s="1">
        <v>29.215032999999998</v>
      </c>
      <c r="D61" s="1">
        <v>22.288947999999998</v>
      </c>
      <c r="E61" s="1">
        <v>298.74249299999997</v>
      </c>
      <c r="F61" s="1">
        <v>19.446794999999998</v>
      </c>
      <c r="G61" s="1">
        <v>15.355801999999999</v>
      </c>
      <c r="H61" s="1">
        <v>24.822219999999998</v>
      </c>
      <c r="I61" s="1">
        <v>30.826943999999997</v>
      </c>
      <c r="J61" s="1">
        <v>28.954896999999999</v>
      </c>
      <c r="K61" s="1">
        <v>10.572552999999999</v>
      </c>
      <c r="L61" s="1">
        <v>36.209178999999999</v>
      </c>
      <c r="M61" s="1">
        <v>31.467048999999999</v>
      </c>
      <c r="N61" s="1">
        <v>17.408265999999998</v>
      </c>
      <c r="O61" s="1">
        <v>9.2705179999999991</v>
      </c>
      <c r="P61" s="1">
        <v>0.9657119999999999</v>
      </c>
      <c r="Q61" s="1">
        <v>2.2144999999999997</v>
      </c>
      <c r="R61" s="1">
        <v>18.441081999999998</v>
      </c>
      <c r="S61" s="1">
        <v>50.386210999999996</v>
      </c>
      <c r="V61" s="37">
        <v>38322</v>
      </c>
      <c r="W61">
        <f t="shared" si="5"/>
        <v>-3.3494129125004303E-2</v>
      </c>
      <c r="X61">
        <f t="shared" si="6"/>
        <v>-3.5026487904360228E-3</v>
      </c>
      <c r="Y61">
        <f t="shared" si="8"/>
        <v>-4.3065648499875341E-2</v>
      </c>
      <c r="Z61">
        <f t="shared" si="9"/>
        <v>1.8057153322343183E-2</v>
      </c>
      <c r="AA61">
        <f t="shared" si="10"/>
        <v>-7.5196555524959255E-2</v>
      </c>
      <c r="AB61">
        <f t="shared" si="11"/>
        <v>-1.4746738724555028E-2</v>
      </c>
      <c r="AC61">
        <f t="shared" si="12"/>
        <v>-6.3277136372169709E-2</v>
      </c>
      <c r="AD61">
        <f t="shared" si="13"/>
        <v>-3.3586949131253478E-2</v>
      </c>
      <c r="AE61">
        <f t="shared" si="14"/>
        <v>-2.9189570247823718E-2</v>
      </c>
      <c r="AF61">
        <f t="shared" si="15"/>
        <v>-0.10152420139203831</v>
      </c>
      <c r="AG61">
        <f t="shared" si="16"/>
        <v>-5.3574592232538618E-2</v>
      </c>
      <c r="AH61">
        <f t="shared" si="17"/>
        <v>-4.7059195159991088E-2</v>
      </c>
      <c r="AI61">
        <f t="shared" si="18"/>
        <v>-1.367683605018442E-2</v>
      </c>
      <c r="AJ61">
        <f t="shared" si="7"/>
        <v>-5.781478445972494E-2</v>
      </c>
      <c r="AK61">
        <f t="shared" si="1"/>
        <v>0.19409824046920826</v>
      </c>
      <c r="AL61">
        <f t="shared" si="2"/>
        <v>-2.4158952359448933E-2</v>
      </c>
      <c r="AM61">
        <f t="shared" si="3"/>
        <v>-1.6467526146242337E-2</v>
      </c>
      <c r="AN61">
        <f t="shared" si="4"/>
        <v>-5.2343566774647944E-2</v>
      </c>
    </row>
    <row r="62" spans="1:40">
      <c r="A62" s="37">
        <v>38353</v>
      </c>
      <c r="B62" s="1">
        <v>20.772005</v>
      </c>
      <c r="C62" s="1">
        <v>29.112703</v>
      </c>
      <c r="D62" s="1">
        <v>21.329059999999998</v>
      </c>
      <c r="E62" s="1">
        <v>304.136932</v>
      </c>
      <c r="F62" s="1">
        <v>17.984462999999998</v>
      </c>
      <c r="G62" s="1">
        <v>15.129353999999999</v>
      </c>
      <c r="H62" s="1">
        <v>23.251541</v>
      </c>
      <c r="I62" s="1">
        <v>29.791560999999998</v>
      </c>
      <c r="J62" s="1">
        <v>28.109715999999999</v>
      </c>
      <c r="K62" s="1">
        <v>9.4991830000000004</v>
      </c>
      <c r="L62" s="1">
        <v>34.269286999999998</v>
      </c>
      <c r="M62" s="1">
        <v>29.986234999999997</v>
      </c>
      <c r="N62" s="1">
        <v>17.170175999999998</v>
      </c>
      <c r="O62" s="1">
        <v>8.7345449999999989</v>
      </c>
      <c r="P62" s="1">
        <v>1.1531549999999999</v>
      </c>
      <c r="Q62" s="1">
        <v>2.161</v>
      </c>
      <c r="R62" s="1">
        <v>18.137402999999999</v>
      </c>
      <c r="S62" s="1">
        <v>47.748816999999995</v>
      </c>
      <c r="V62" s="37">
        <v>38353</v>
      </c>
      <c r="W62">
        <f t="shared" si="5"/>
        <v>-4.5297986400446594E-3</v>
      </c>
      <c r="X62">
        <f t="shared" si="6"/>
        <v>6.0383606427750376E-3</v>
      </c>
      <c r="Y62">
        <f t="shared" si="8"/>
        <v>-1.2317139151936279E-2</v>
      </c>
      <c r="Z62">
        <f t="shared" si="9"/>
        <v>-2.7114799724487347E-2</v>
      </c>
      <c r="AA62">
        <f t="shared" si="10"/>
        <v>-1.5730244489367503E-3</v>
      </c>
      <c r="AB62">
        <f t="shared" si="11"/>
        <v>-6.1618625620102705E-3</v>
      </c>
      <c r="AC62">
        <f t="shared" si="12"/>
        <v>2.4197105903647376E-2</v>
      </c>
      <c r="AD62">
        <f t="shared" si="13"/>
        <v>1.8430387048197993E-3</v>
      </c>
      <c r="AE62">
        <f t="shared" si="14"/>
        <v>-2.7544177251737467E-2</v>
      </c>
      <c r="AF62">
        <f t="shared" si="15"/>
        <v>8.8161687168254246E-2</v>
      </c>
      <c r="AG62">
        <f t="shared" si="16"/>
        <v>1.7212467828700288E-2</v>
      </c>
      <c r="AH62">
        <f t="shared" si="17"/>
        <v>-5.7098098510866668E-2</v>
      </c>
      <c r="AI62">
        <f t="shared" si="18"/>
        <v>-3.1321519360081124E-2</v>
      </c>
      <c r="AJ62">
        <f t="shared" si="7"/>
        <v>5.1901386964060631E-2</v>
      </c>
      <c r="AK62">
        <f t="shared" si="1"/>
        <v>0.16671045956527955</v>
      </c>
      <c r="AL62">
        <f t="shared" si="2"/>
        <v>-0.18602498843128187</v>
      </c>
      <c r="AM62">
        <f t="shared" si="3"/>
        <v>-4.2617236877848519E-2</v>
      </c>
      <c r="AN62">
        <f t="shared" si="4"/>
        <v>-8.9913850640529619E-3</v>
      </c>
    </row>
    <row r="63" spans="1:40">
      <c r="A63" s="37">
        <v>38384</v>
      </c>
      <c r="B63" s="1">
        <v>20.677911999999999</v>
      </c>
      <c r="C63" s="1">
        <v>29.288495999999999</v>
      </c>
      <c r="D63" s="1">
        <v>21.066347</v>
      </c>
      <c r="E63" s="1">
        <v>295.89031999999997</v>
      </c>
      <c r="F63" s="1">
        <v>17.956173</v>
      </c>
      <c r="G63" s="1">
        <v>15.036128999999999</v>
      </c>
      <c r="H63" s="1">
        <v>23.814160999999999</v>
      </c>
      <c r="I63" s="1">
        <v>29.846467999999998</v>
      </c>
      <c r="J63" s="1">
        <v>27.335456999999998</v>
      </c>
      <c r="K63" s="1">
        <v>10.336646999999999</v>
      </c>
      <c r="L63" s="1">
        <v>34.859145999999996</v>
      </c>
      <c r="M63" s="1">
        <v>28.274077999999999</v>
      </c>
      <c r="N63" s="1">
        <v>16.632379999999998</v>
      </c>
      <c r="O63" s="1">
        <v>9.1878799999999998</v>
      </c>
      <c r="P63" s="1">
        <v>1.3453979999999999</v>
      </c>
      <c r="Q63" s="1">
        <v>1.7589999999999999</v>
      </c>
      <c r="R63" s="1">
        <v>17.364436999999999</v>
      </c>
      <c r="S63" s="1">
        <v>47.319488999999997</v>
      </c>
      <c r="V63" s="37">
        <v>38384</v>
      </c>
      <c r="W63">
        <f t="shared" si="5"/>
        <v>-3.2433545514653488E-2</v>
      </c>
      <c r="X63">
        <f t="shared" si="6"/>
        <v>-5.4662759057344544E-2</v>
      </c>
      <c r="Y63">
        <f t="shared" si="8"/>
        <v>-5.335163234518079E-2</v>
      </c>
      <c r="Z63">
        <f t="shared" si="9"/>
        <v>-4.9841714997638321E-2</v>
      </c>
      <c r="AA63">
        <f t="shared" si="10"/>
        <v>5.2693020946055741E-2</v>
      </c>
      <c r="AB63">
        <f t="shared" si="11"/>
        <v>0.12736908548736176</v>
      </c>
      <c r="AC63">
        <f t="shared" si="12"/>
        <v>-5.5969723224765226E-2</v>
      </c>
      <c r="AD63">
        <f t="shared" si="13"/>
        <v>-1.6950414367288191E-3</v>
      </c>
      <c r="AE63">
        <f t="shared" si="14"/>
        <v>-2.1189182972137576E-2</v>
      </c>
      <c r="AF63">
        <f t="shared" si="15"/>
        <v>6.7259721648615343E-3</v>
      </c>
      <c r="AG63">
        <f t="shared" si="16"/>
        <v>-5.13389226460109E-2</v>
      </c>
      <c r="AH63">
        <f t="shared" si="17"/>
        <v>1.9752721910153352E-3</v>
      </c>
      <c r="AI63">
        <f t="shared" si="18"/>
        <v>1.4956608735490732E-2</v>
      </c>
      <c r="AJ63">
        <f t="shared" si="7"/>
        <v>1.0014715037636422E-2</v>
      </c>
      <c r="AK63">
        <f t="shared" si="1"/>
        <v>-7.1109812858351093E-2</v>
      </c>
      <c r="AL63">
        <f t="shared" si="2"/>
        <v>-2.5866969869243819E-2</v>
      </c>
      <c r="AM63">
        <f t="shared" si="3"/>
        <v>-3.6384249025753088E-2</v>
      </c>
      <c r="AN63">
        <f t="shared" si="4"/>
        <v>-1.1078627666499048E-2</v>
      </c>
    </row>
    <row r="64" spans="1:40">
      <c r="A64" s="37">
        <v>38412</v>
      </c>
      <c r="B64" s="1">
        <v>20.007254</v>
      </c>
      <c r="C64" s="1">
        <v>27.687505999999999</v>
      </c>
      <c r="D64" s="1">
        <v>19.942422999999998</v>
      </c>
      <c r="E64" s="1">
        <v>281.14263899999997</v>
      </c>
      <c r="F64" s="1">
        <v>18.902338</v>
      </c>
      <c r="G64" s="1">
        <v>16.951266999999998</v>
      </c>
      <c r="H64" s="1">
        <v>22.481289</v>
      </c>
      <c r="I64" s="1">
        <v>29.795876999999997</v>
      </c>
      <c r="J64" s="1">
        <v>26.756240999999999</v>
      </c>
      <c r="K64" s="1">
        <v>10.406170999999999</v>
      </c>
      <c r="L64" s="1">
        <v>33.069514999999996</v>
      </c>
      <c r="M64" s="1">
        <v>28.329926999999998</v>
      </c>
      <c r="N64" s="1">
        <v>16.881143999999999</v>
      </c>
      <c r="O64" s="1">
        <v>9.2798939999999988</v>
      </c>
      <c r="P64" s="1">
        <v>1.249727</v>
      </c>
      <c r="Q64" s="1">
        <v>1.7135</v>
      </c>
      <c r="R64" s="1">
        <v>16.732644999999998</v>
      </c>
      <c r="S64" s="1">
        <v>46.795254</v>
      </c>
      <c r="V64" s="37">
        <v>38412</v>
      </c>
      <c r="W64">
        <f t="shared" si="5"/>
        <v>1.4482747107624121E-3</v>
      </c>
      <c r="X64">
        <f t="shared" si="6"/>
        <v>3.1171388278886471E-2</v>
      </c>
      <c r="Y64">
        <f t="shared" si="8"/>
        <v>2.5722551367003039E-2</v>
      </c>
      <c r="Z64">
        <f t="shared" si="9"/>
        <v>4.4949126340099531E-2</v>
      </c>
      <c r="AA64">
        <f t="shared" si="10"/>
        <v>-2.9944073584971427E-2</v>
      </c>
      <c r="AB64">
        <f t="shared" si="11"/>
        <v>-9.452880424808352E-2</v>
      </c>
      <c r="AC64">
        <f t="shared" si="12"/>
        <v>-6.4113628004159373E-2</v>
      </c>
      <c r="AD64">
        <f t="shared" si="13"/>
        <v>2.1697767110530099E-2</v>
      </c>
      <c r="AE64">
        <f t="shared" si="14"/>
        <v>-4.3821925508893383E-2</v>
      </c>
      <c r="AF64">
        <f t="shared" si="15"/>
        <v>3.425938320636869E-2</v>
      </c>
      <c r="AG64">
        <f t="shared" si="16"/>
        <v>2.831372035543913E-2</v>
      </c>
      <c r="AH64">
        <f t="shared" si="17"/>
        <v>-8.8026065157174607E-2</v>
      </c>
      <c r="AI64">
        <f t="shared" si="18"/>
        <v>2.3410735670520645E-3</v>
      </c>
      <c r="AJ64">
        <f t="shared" si="7"/>
        <v>-2.3485074290719211E-2</v>
      </c>
      <c r="AK64">
        <f t="shared" si="1"/>
        <v>-0.13463020323638694</v>
      </c>
      <c r="AL64">
        <f t="shared" si="2"/>
        <v>-5.5733878027429316E-2</v>
      </c>
      <c r="AM64">
        <f t="shared" si="3"/>
        <v>4.6751723950397575E-2</v>
      </c>
      <c r="AN64">
        <f t="shared" si="4"/>
        <v>-0.16414955243110771</v>
      </c>
    </row>
    <row r="65" spans="1:40">
      <c r="A65" s="37">
        <v>38443</v>
      </c>
      <c r="B65" s="1">
        <v>20.03623</v>
      </c>
      <c r="C65" s="1">
        <v>28.550563999999998</v>
      </c>
      <c r="D65" s="1">
        <v>20.455393000000001</v>
      </c>
      <c r="E65" s="1">
        <v>293.77975499999997</v>
      </c>
      <c r="F65" s="1">
        <v>18.336324999999999</v>
      </c>
      <c r="G65" s="1">
        <v>15.348884</v>
      </c>
      <c r="H65" s="1">
        <v>21.039932</v>
      </c>
      <c r="I65" s="1">
        <v>30.442380999999997</v>
      </c>
      <c r="J65" s="1">
        <v>25.583731</v>
      </c>
      <c r="K65" s="1">
        <v>10.76268</v>
      </c>
      <c r="L65" s="1">
        <v>34.005835999999995</v>
      </c>
      <c r="M65" s="1">
        <v>25.836154999999998</v>
      </c>
      <c r="N65" s="1">
        <v>16.920663999999999</v>
      </c>
      <c r="O65" s="1">
        <v>9.0619549999999993</v>
      </c>
      <c r="P65" s="1">
        <v>1.0814759999999999</v>
      </c>
      <c r="Q65" s="1">
        <v>1.6179999999999999</v>
      </c>
      <c r="R65" s="1">
        <v>17.514924999999998</v>
      </c>
      <c r="S65" s="1">
        <v>39.113833999999997</v>
      </c>
      <c r="V65" s="37">
        <v>38443</v>
      </c>
      <c r="W65">
        <f t="shared" si="5"/>
        <v>-7.7590394999458426E-2</v>
      </c>
      <c r="X65">
        <f t="shared" si="6"/>
        <v>2.8419928937305779E-2</v>
      </c>
      <c r="Y65">
        <f t="shared" si="8"/>
        <v>1.7426064607998434E-2</v>
      </c>
      <c r="Z65">
        <f t="shared" si="9"/>
        <v>1.2664317185505251E-2</v>
      </c>
      <c r="AA65">
        <f t="shared" si="10"/>
        <v>-1.6877100509507682E-2</v>
      </c>
      <c r="AB65">
        <f t="shared" si="11"/>
        <v>0.17304346035842086</v>
      </c>
      <c r="AC65">
        <f t="shared" si="12"/>
        <v>5.7723428003474436E-2</v>
      </c>
      <c r="AD65">
        <f t="shared" si="13"/>
        <v>2.3743050847435405E-2</v>
      </c>
      <c r="AE65">
        <f t="shared" si="14"/>
        <v>3.6718412963300778E-2</v>
      </c>
      <c r="AF65">
        <f t="shared" si="15"/>
        <v>2.686821497991199E-2</v>
      </c>
      <c r="AG65">
        <f t="shared" si="16"/>
        <v>2.1822048427217081E-2</v>
      </c>
      <c r="AH65">
        <f t="shared" si="17"/>
        <v>-5.9652219922043268E-2</v>
      </c>
      <c r="AI65">
        <f t="shared" si="18"/>
        <v>7.8412407456350149E-3</v>
      </c>
      <c r="AJ65">
        <f t="shared" si="7"/>
        <v>6.3515874885717291E-2</v>
      </c>
      <c r="AK65">
        <f t="shared" si="1"/>
        <v>0.10260791732780013</v>
      </c>
      <c r="AL65">
        <f t="shared" si="2"/>
        <v>9.7342398022249685E-2</v>
      </c>
      <c r="AM65">
        <f t="shared" si="3"/>
        <v>1.9762916484084344E-2</v>
      </c>
      <c r="AN65">
        <f t="shared" si="4"/>
        <v>-1.086735705837477E-2</v>
      </c>
    </row>
    <row r="66" spans="1:40">
      <c r="A66" s="37">
        <v>38473</v>
      </c>
      <c r="B66" s="1">
        <v>18.481611000000001</v>
      </c>
      <c r="C66" s="1">
        <v>29.361968999999998</v>
      </c>
      <c r="D66" s="1">
        <v>20.81185</v>
      </c>
      <c r="E66" s="1">
        <v>297.50027499999999</v>
      </c>
      <c r="F66" s="1">
        <v>18.026861</v>
      </c>
      <c r="G66" s="1">
        <v>18.004908</v>
      </c>
      <c r="H66" s="1">
        <v>22.254428999999998</v>
      </c>
      <c r="I66" s="1">
        <v>31.165175999999999</v>
      </c>
      <c r="J66" s="1">
        <v>26.523125</v>
      </c>
      <c r="K66" s="1">
        <v>11.051853999999999</v>
      </c>
      <c r="L66" s="1">
        <v>34.747912999999997</v>
      </c>
      <c r="M66" s="1">
        <v>24.294971</v>
      </c>
      <c r="N66" s="1">
        <v>17.053342999999998</v>
      </c>
      <c r="O66" s="1">
        <v>9.6375329999999995</v>
      </c>
      <c r="P66" s="1">
        <v>1.1924439999999998</v>
      </c>
      <c r="Q66" s="1">
        <v>1.7754999999999999</v>
      </c>
      <c r="R66" s="1">
        <v>17.861070999999999</v>
      </c>
      <c r="S66" s="1">
        <v>38.688769999999998</v>
      </c>
      <c r="V66" s="37">
        <v>38473</v>
      </c>
      <c r="W66">
        <f t="shared" si="5"/>
        <v>4.3364888482935744E-2</v>
      </c>
      <c r="X66">
        <f t="shared" si="6"/>
        <v>-1.5328059231994935E-2</v>
      </c>
      <c r="Y66">
        <f t="shared" si="8"/>
        <v>-1.202790717788191E-2</v>
      </c>
      <c r="Z66">
        <f t="shared" si="9"/>
        <v>-1.8679612985231665E-2</v>
      </c>
      <c r="AA66">
        <f t="shared" si="10"/>
        <v>6.1807821117608762E-2</v>
      </c>
      <c r="AB66">
        <f t="shared" si="11"/>
        <v>8.6434598832718229E-2</v>
      </c>
      <c r="AC66">
        <f t="shared" si="12"/>
        <v>-9.9776992705587243E-3</v>
      </c>
      <c r="AD66">
        <f t="shared" si="13"/>
        <v>-4.3517161590873113E-2</v>
      </c>
      <c r="AE66">
        <f t="shared" si="14"/>
        <v>2.0847769634988227E-2</v>
      </c>
      <c r="AF66">
        <f t="shared" si="15"/>
        <v>-4.6325259092274852E-3</v>
      </c>
      <c r="AG66">
        <f t="shared" si="16"/>
        <v>-1.1513928908478537E-2</v>
      </c>
      <c r="AH66">
        <f t="shared" si="17"/>
        <v>-1.8075345716609785E-3</v>
      </c>
      <c r="AI66">
        <f t="shared" si="18"/>
        <v>2.7548205650939073E-2</v>
      </c>
      <c r="AJ66">
        <f t="shared" si="7"/>
        <v>4.8906602965717513E-2</v>
      </c>
      <c r="AK66">
        <f t="shared" ref="AK66:AK129" si="19">(P67-P66)/P66</f>
        <v>-7.4194679163130356E-2</v>
      </c>
      <c r="AL66">
        <f t="shared" ref="AL66:AL129" si="20">(Q67-Q66)/Q66</f>
        <v>-6.8149816952970996E-2</v>
      </c>
      <c r="AM66">
        <f t="shared" ref="AM66:AM129" si="21">(R67-R66)/R66</f>
        <v>-3.4155230668978367E-2</v>
      </c>
      <c r="AN66">
        <f t="shared" ref="AN66:AN129" si="22">(S67-S66)/S66</f>
        <v>-1.5259957863741904E-2</v>
      </c>
    </row>
    <row r="67" spans="1:40">
      <c r="A67" s="37">
        <v>38504</v>
      </c>
      <c r="B67" s="1">
        <v>19.283064</v>
      </c>
      <c r="C67" s="1">
        <v>28.911906999999999</v>
      </c>
      <c r="D67" s="1">
        <v>20.561526999999998</v>
      </c>
      <c r="E67" s="1">
        <v>291.943085</v>
      </c>
      <c r="F67" s="1">
        <v>19.141061999999998</v>
      </c>
      <c r="G67" s="1">
        <v>19.561154999999999</v>
      </c>
      <c r="H67" s="1">
        <v>22.032380999999997</v>
      </c>
      <c r="I67" s="1">
        <v>29.808955999999998</v>
      </c>
      <c r="J67" s="1">
        <v>27.076072999999997</v>
      </c>
      <c r="K67" s="1">
        <v>11.000655999999999</v>
      </c>
      <c r="L67" s="1">
        <v>34.347828</v>
      </c>
      <c r="M67" s="1">
        <v>24.251056999999999</v>
      </c>
      <c r="N67" s="1">
        <v>17.523132</v>
      </c>
      <c r="O67" s="1">
        <v>10.108872</v>
      </c>
      <c r="P67" s="1">
        <v>1.103971</v>
      </c>
      <c r="Q67" s="1">
        <v>1.6544999999999999</v>
      </c>
      <c r="R67" s="1">
        <v>17.251021999999999</v>
      </c>
      <c r="S67" s="1">
        <v>38.098380999999996</v>
      </c>
      <c r="V67" s="37">
        <v>38504</v>
      </c>
      <c r="W67">
        <f t="shared" ref="W67:W130" si="23">(B68-B67)/B67</f>
        <v>-1.07665980883537E-2</v>
      </c>
      <c r="X67">
        <f t="shared" ref="X67:X130" si="24">(C68-C67)/C67</f>
        <v>-3.4691796705073767E-2</v>
      </c>
      <c r="Y67">
        <f t="shared" si="8"/>
        <v>-5.0962168325339226E-3</v>
      </c>
      <c r="Z67">
        <f t="shared" si="9"/>
        <v>-5.9052784209634529E-2</v>
      </c>
      <c r="AA67">
        <f t="shared" si="10"/>
        <v>7.1996632161789267E-2</v>
      </c>
      <c r="AB67">
        <f t="shared" si="11"/>
        <v>3.7317121611684025E-2</v>
      </c>
      <c r="AC67">
        <f t="shared" si="12"/>
        <v>0.12811711090145012</v>
      </c>
      <c r="AD67">
        <f t="shared" si="13"/>
        <v>5.4597148588498005E-2</v>
      </c>
      <c r="AE67">
        <f t="shared" si="14"/>
        <v>8.1181787329351704E-2</v>
      </c>
      <c r="AF67">
        <f t="shared" si="15"/>
        <v>-3.9158937430640459E-2</v>
      </c>
      <c r="AG67">
        <f t="shared" si="16"/>
        <v>3.5553456247655629E-2</v>
      </c>
      <c r="AH67">
        <f t="shared" si="17"/>
        <v>1.1878368848005309E-2</v>
      </c>
      <c r="AI67">
        <f t="shared" si="18"/>
        <v>-3.8971343707278512E-3</v>
      </c>
      <c r="AJ67">
        <f t="shared" ref="AJ67:AJ130" si="25">(O68-O67)/O67</f>
        <v>3.2463661623176092E-2</v>
      </c>
      <c r="AK67">
        <f t="shared" si="19"/>
        <v>0.15865181241173901</v>
      </c>
      <c r="AL67">
        <f t="shared" si="20"/>
        <v>0.36446056210335448</v>
      </c>
      <c r="AM67">
        <f t="shared" si="21"/>
        <v>3.0998511276607358E-2</v>
      </c>
      <c r="AN67">
        <f t="shared" si="22"/>
        <v>0.12479766528661686</v>
      </c>
    </row>
    <row r="68" spans="1:40">
      <c r="A68" s="37">
        <v>38534</v>
      </c>
      <c r="B68" s="1">
        <v>19.075450999999997</v>
      </c>
      <c r="C68" s="1">
        <v>27.908901</v>
      </c>
      <c r="D68" s="1">
        <v>20.456740999999997</v>
      </c>
      <c r="E68" s="1">
        <v>274.703033</v>
      </c>
      <c r="F68" s="1">
        <v>20.519154</v>
      </c>
      <c r="G68" s="1">
        <v>20.291121</v>
      </c>
      <c r="H68" s="1">
        <v>24.855105999999999</v>
      </c>
      <c r="I68" s="1">
        <v>31.436439999999997</v>
      </c>
      <c r="J68" s="1">
        <v>29.274156999999999</v>
      </c>
      <c r="K68" s="1">
        <v>10.569882</v>
      </c>
      <c r="L68" s="1">
        <v>35.569012000000001</v>
      </c>
      <c r="M68" s="1">
        <v>24.53912</v>
      </c>
      <c r="N68" s="1">
        <v>17.454841999999999</v>
      </c>
      <c r="O68" s="1">
        <v>10.437042999999999</v>
      </c>
      <c r="P68" s="1">
        <v>1.279118</v>
      </c>
      <c r="Q68" s="1">
        <v>2.2574999999999998</v>
      </c>
      <c r="R68" s="1">
        <v>17.785778000000001</v>
      </c>
      <c r="S68" s="1">
        <v>42.852969999999999</v>
      </c>
      <c r="V68" s="37">
        <v>38534</v>
      </c>
      <c r="W68">
        <f t="shared" si="23"/>
        <v>1.9994651764721212E-2</v>
      </c>
      <c r="X68">
        <f t="shared" si="24"/>
        <v>-1.3073141074240102E-2</v>
      </c>
      <c r="Y68">
        <f t="shared" si="8"/>
        <v>-2.6198210164561257E-2</v>
      </c>
      <c r="Z68">
        <f t="shared" si="9"/>
        <v>1.6280788570688921E-2</v>
      </c>
      <c r="AA68">
        <f t="shared" si="10"/>
        <v>-2.2052761044631816E-2</v>
      </c>
      <c r="AB68">
        <f t="shared" si="11"/>
        <v>-9.0813168971788288E-2</v>
      </c>
      <c r="AC68">
        <f t="shared" si="12"/>
        <v>-0.11083883528800884</v>
      </c>
      <c r="AD68">
        <f t="shared" si="13"/>
        <v>2.4181173186276889E-3</v>
      </c>
      <c r="AE68">
        <f t="shared" si="14"/>
        <v>-6.4990633205936593E-2</v>
      </c>
      <c r="AF68">
        <f t="shared" si="15"/>
        <v>-3.8490022878211974E-2</v>
      </c>
      <c r="AG68">
        <f t="shared" si="16"/>
        <v>4.3635735510447879E-3</v>
      </c>
      <c r="AH68">
        <f t="shared" si="17"/>
        <v>1.300719015188798E-2</v>
      </c>
      <c r="AI68">
        <f t="shared" si="18"/>
        <v>-2.8040643392819021E-2</v>
      </c>
      <c r="AJ68">
        <f t="shared" si="25"/>
        <v>3.2378136221150031E-2</v>
      </c>
      <c r="AK68">
        <f t="shared" si="19"/>
        <v>9.9413814831782521E-2</v>
      </c>
      <c r="AL68">
        <f t="shared" si="20"/>
        <v>-5.4263565891472895E-2</v>
      </c>
      <c r="AM68">
        <f t="shared" si="21"/>
        <v>6.9113141972198158E-2</v>
      </c>
      <c r="AN68">
        <f t="shared" si="22"/>
        <v>-3.4028119871271564E-2</v>
      </c>
    </row>
    <row r="69" spans="1:40">
      <c r="A69" s="37">
        <v>38565</v>
      </c>
      <c r="B69" s="1">
        <v>19.456858</v>
      </c>
      <c r="C69" s="1">
        <v>27.544044</v>
      </c>
      <c r="D69" s="1">
        <v>19.920811</v>
      </c>
      <c r="E69" s="1">
        <v>279.17541499999999</v>
      </c>
      <c r="F69" s="1">
        <v>20.066649999999999</v>
      </c>
      <c r="G69" s="1">
        <v>18.448419999999999</v>
      </c>
      <c r="H69" s="1">
        <v>22.100194999999999</v>
      </c>
      <c r="I69" s="1">
        <v>31.512456999999998</v>
      </c>
      <c r="J69" s="1">
        <v>27.371610999999998</v>
      </c>
      <c r="K69" s="1">
        <v>10.163046999999999</v>
      </c>
      <c r="L69" s="1">
        <v>35.724219999999995</v>
      </c>
      <c r="M69" s="1">
        <v>24.858304999999998</v>
      </c>
      <c r="N69" s="1">
        <v>16.965396999999999</v>
      </c>
      <c r="O69" s="1">
        <v>10.774975</v>
      </c>
      <c r="P69" s="1">
        <v>1.40628</v>
      </c>
      <c r="Q69" s="1">
        <v>2.1349999999999998</v>
      </c>
      <c r="R69" s="1">
        <v>19.015008999999999</v>
      </c>
      <c r="S69" s="1">
        <v>41.394763999999995</v>
      </c>
      <c r="V69" s="37">
        <v>38565</v>
      </c>
      <c r="W69">
        <f t="shared" si="23"/>
        <v>2.8087731328459979E-2</v>
      </c>
      <c r="X69">
        <f t="shared" si="24"/>
        <v>-1.012988506698583E-2</v>
      </c>
      <c r="Y69">
        <f t="shared" si="8"/>
        <v>1.1802732328518252E-3</v>
      </c>
      <c r="Z69">
        <f t="shared" si="9"/>
        <v>3.9981439626408356E-2</v>
      </c>
      <c r="AA69">
        <f t="shared" si="10"/>
        <v>3.0185855636092732E-2</v>
      </c>
      <c r="AB69">
        <f t="shared" si="11"/>
        <v>-2.7146443977316231E-2</v>
      </c>
      <c r="AC69">
        <f t="shared" si="12"/>
        <v>-6.3934006012164105E-2</v>
      </c>
      <c r="AD69">
        <f t="shared" si="13"/>
        <v>7.1736932477210538E-2</v>
      </c>
      <c r="AE69">
        <f t="shared" si="14"/>
        <v>2.0327776834180515E-2</v>
      </c>
      <c r="AF69">
        <f t="shared" si="15"/>
        <v>-1.2992461807959708E-2</v>
      </c>
      <c r="AG69">
        <f t="shared" si="16"/>
        <v>3.9825782060462236E-2</v>
      </c>
      <c r="AH69">
        <f t="shared" si="17"/>
        <v>-6.3458872195831448E-2</v>
      </c>
      <c r="AI69">
        <f t="shared" si="18"/>
        <v>-9.2642099680898555E-3</v>
      </c>
      <c r="AJ69">
        <f t="shared" si="25"/>
        <v>4.5136810062204283E-2</v>
      </c>
      <c r="AK69">
        <f t="shared" si="19"/>
        <v>0.14331427596211285</v>
      </c>
      <c r="AL69">
        <f t="shared" si="20"/>
        <v>6.0889929742388715E-2</v>
      </c>
      <c r="AM69">
        <f t="shared" si="21"/>
        <v>-5.7474913632699312E-2</v>
      </c>
      <c r="AN69">
        <f t="shared" si="22"/>
        <v>-2.5688031462142002E-3</v>
      </c>
    </row>
    <row r="70" spans="1:40">
      <c r="A70" s="37">
        <v>38596</v>
      </c>
      <c r="B70" s="1">
        <v>20.003356999999998</v>
      </c>
      <c r="C70" s="1">
        <v>27.265025999999999</v>
      </c>
      <c r="D70" s="1">
        <v>19.944323000000001</v>
      </c>
      <c r="E70" s="1">
        <v>290.33724999999998</v>
      </c>
      <c r="F70" s="1">
        <v>20.672378999999999</v>
      </c>
      <c r="G70" s="1">
        <v>17.947610999999998</v>
      </c>
      <c r="H70" s="1">
        <v>20.687241</v>
      </c>
      <c r="I70" s="1">
        <v>33.773063999999998</v>
      </c>
      <c r="J70" s="1">
        <v>27.928014999999998</v>
      </c>
      <c r="K70" s="1">
        <v>10.031003999999999</v>
      </c>
      <c r="L70" s="1">
        <v>37.146965000000002</v>
      </c>
      <c r="M70" s="1">
        <v>23.280825</v>
      </c>
      <c r="N70" s="1">
        <v>16.808225999999998</v>
      </c>
      <c r="O70" s="1">
        <v>11.261322999999999</v>
      </c>
      <c r="P70" s="1">
        <v>1.60782</v>
      </c>
      <c r="Q70" s="1">
        <v>2.2649999999999997</v>
      </c>
      <c r="R70" s="1">
        <v>17.922122999999999</v>
      </c>
      <c r="S70" s="1">
        <v>41.288429000000001</v>
      </c>
      <c r="V70" s="37">
        <v>38596</v>
      </c>
      <c r="W70">
        <f t="shared" si="23"/>
        <v>-2.8445725384994066E-2</v>
      </c>
      <c r="X70">
        <f t="shared" si="24"/>
        <v>3.8955216840798119E-2</v>
      </c>
      <c r="Y70">
        <f t="shared" si="8"/>
        <v>7.9281156848492559E-2</v>
      </c>
      <c r="Z70">
        <f t="shared" si="9"/>
        <v>5.711509632332851E-3</v>
      </c>
      <c r="AA70">
        <f t="shared" si="10"/>
        <v>-1.5662541790666732E-2</v>
      </c>
      <c r="AB70">
        <f t="shared" si="11"/>
        <v>-8.2249442558121E-2</v>
      </c>
      <c r="AC70">
        <f t="shared" si="12"/>
        <v>-3.4996450227461331E-3</v>
      </c>
      <c r="AD70">
        <f t="shared" si="13"/>
        <v>-5.8358341428541953E-2</v>
      </c>
      <c r="AE70">
        <f t="shared" si="14"/>
        <v>3.3303441007175E-2</v>
      </c>
      <c r="AF70">
        <f t="shared" si="15"/>
        <v>-0.12935534668314355</v>
      </c>
      <c r="AG70">
        <f t="shared" si="16"/>
        <v>-1.0088576549928155E-2</v>
      </c>
      <c r="AH70">
        <f t="shared" si="17"/>
        <v>-8.436999118373173E-2</v>
      </c>
      <c r="AI70">
        <f t="shared" si="18"/>
        <v>2.7829528232188219E-2</v>
      </c>
      <c r="AJ70">
        <f t="shared" si="25"/>
        <v>-3.2216640975487543E-2</v>
      </c>
      <c r="AK70">
        <f t="shared" si="19"/>
        <v>7.4240275652747156E-2</v>
      </c>
      <c r="AL70">
        <f t="shared" si="20"/>
        <v>-0.12008830022075048</v>
      </c>
      <c r="AM70">
        <f t="shared" si="21"/>
        <v>-1.1658775023472075E-3</v>
      </c>
      <c r="AN70">
        <f t="shared" si="22"/>
        <v>2.0693182586336661E-2</v>
      </c>
    </row>
    <row r="71" spans="1:40">
      <c r="A71" s="37">
        <v>38626</v>
      </c>
      <c r="B71" s="1">
        <v>19.434346999999999</v>
      </c>
      <c r="C71" s="1">
        <v>28.327140999999997</v>
      </c>
      <c r="D71" s="1">
        <v>21.525531999999998</v>
      </c>
      <c r="E71" s="1">
        <v>291.99551400000001</v>
      </c>
      <c r="F71" s="1">
        <v>20.348596999999998</v>
      </c>
      <c r="G71" s="1">
        <v>16.471429999999998</v>
      </c>
      <c r="H71" s="1">
        <v>20.614843</v>
      </c>
      <c r="I71" s="1">
        <v>31.802123999999999</v>
      </c>
      <c r="J71" s="1">
        <v>28.858113999999997</v>
      </c>
      <c r="K71" s="1">
        <v>8.7334399999999999</v>
      </c>
      <c r="L71" s="1">
        <v>36.772205</v>
      </c>
      <c r="M71" s="1">
        <v>21.316621999999999</v>
      </c>
      <c r="N71" s="1">
        <v>17.275990999999998</v>
      </c>
      <c r="O71" s="1">
        <v>10.898520999999999</v>
      </c>
      <c r="P71" s="1">
        <v>1.727185</v>
      </c>
      <c r="Q71" s="1">
        <v>1.9929999999999999</v>
      </c>
      <c r="R71" s="1">
        <v>17.901228</v>
      </c>
      <c r="S71" s="1">
        <v>42.142817999999998</v>
      </c>
      <c r="V71" s="37">
        <v>38626</v>
      </c>
      <c r="W71">
        <f t="shared" si="23"/>
        <v>2.902603313607614E-2</v>
      </c>
      <c r="X71">
        <f t="shared" si="24"/>
        <v>4.9153672091369983E-2</v>
      </c>
      <c r="Y71">
        <f t="shared" si="8"/>
        <v>5.5024795670555328E-2</v>
      </c>
      <c r="Z71">
        <f t="shared" si="9"/>
        <v>6.0506730935599176E-2</v>
      </c>
      <c r="AA71">
        <f t="shared" si="10"/>
        <v>9.5471397856078277E-2</v>
      </c>
      <c r="AB71">
        <f t="shared" si="11"/>
        <v>4.9861426724941323E-2</v>
      </c>
      <c r="AC71">
        <f t="shared" si="12"/>
        <v>0.14288054485789667</v>
      </c>
      <c r="AD71">
        <f t="shared" si="13"/>
        <v>2.6625297102797332E-2</v>
      </c>
      <c r="AE71">
        <f t="shared" si="14"/>
        <v>1.4606983671906818E-3</v>
      </c>
      <c r="AF71">
        <f t="shared" si="15"/>
        <v>-2.483855159020968E-2</v>
      </c>
      <c r="AG71">
        <f t="shared" si="16"/>
        <v>3.5641784331399126E-2</v>
      </c>
      <c r="AH71">
        <f t="shared" si="17"/>
        <v>9.5451333705687223E-3</v>
      </c>
      <c r="AI71">
        <f t="shared" si="18"/>
        <v>4.4019992832828141E-2</v>
      </c>
      <c r="AJ71">
        <f t="shared" si="25"/>
        <v>9.5750790405413774E-2</v>
      </c>
      <c r="AK71">
        <f t="shared" si="19"/>
        <v>0.17763470618376129</v>
      </c>
      <c r="AL71">
        <f t="shared" si="20"/>
        <v>0.21575514300050186</v>
      </c>
      <c r="AM71">
        <f t="shared" si="21"/>
        <v>7.7042647577026585E-2</v>
      </c>
      <c r="AN71">
        <f t="shared" si="22"/>
        <v>8.5735083021738129E-2</v>
      </c>
    </row>
    <row r="72" spans="1:40">
      <c r="A72" s="37">
        <v>38657</v>
      </c>
      <c r="B72" s="1">
        <v>19.998449000000001</v>
      </c>
      <c r="C72" s="1">
        <v>29.719524</v>
      </c>
      <c r="D72" s="1">
        <v>22.709969999999998</v>
      </c>
      <c r="E72" s="1">
        <v>309.663208</v>
      </c>
      <c r="F72" s="1">
        <v>22.291305999999999</v>
      </c>
      <c r="G72" s="1">
        <v>17.292718999999998</v>
      </c>
      <c r="H72" s="1">
        <v>23.560302999999998</v>
      </c>
      <c r="I72" s="1">
        <v>32.648865000000001</v>
      </c>
      <c r="J72" s="1">
        <v>28.900266999999999</v>
      </c>
      <c r="K72" s="1">
        <v>8.516513999999999</v>
      </c>
      <c r="L72" s="1">
        <v>38.082831999999996</v>
      </c>
      <c r="M72" s="1">
        <v>21.520091999999998</v>
      </c>
      <c r="N72" s="1">
        <v>18.036480000000001</v>
      </c>
      <c r="O72" s="1">
        <v>11.942062999999999</v>
      </c>
      <c r="P72" s="1">
        <v>2.0339929999999997</v>
      </c>
      <c r="Q72" s="1">
        <v>2.423</v>
      </c>
      <c r="R72" s="1">
        <v>19.280386</v>
      </c>
      <c r="S72" s="1">
        <v>45.755935999999998</v>
      </c>
      <c r="V72" s="37">
        <v>38657</v>
      </c>
      <c r="W72">
        <f t="shared" si="23"/>
        <v>3.2131041762288495E-2</v>
      </c>
      <c r="X72">
        <f t="shared" si="24"/>
        <v>1.6531321295724606E-2</v>
      </c>
      <c r="Y72">
        <f t="shared" si="8"/>
        <v>3.7646328903120495E-2</v>
      </c>
      <c r="Z72">
        <f t="shared" si="9"/>
        <v>9.3381871830249055E-3</v>
      </c>
      <c r="AA72">
        <f t="shared" si="10"/>
        <v>5.0578194027752356E-2</v>
      </c>
      <c r="AB72">
        <f t="shared" si="11"/>
        <v>2.9489347510938041E-2</v>
      </c>
      <c r="AC72">
        <f t="shared" si="12"/>
        <v>-1.7879948318151814E-2</v>
      </c>
      <c r="AD72">
        <f t="shared" si="13"/>
        <v>1.2065258623844803E-2</v>
      </c>
      <c r="AE72">
        <f t="shared" si="14"/>
        <v>8.3314109174144921E-4</v>
      </c>
      <c r="AF72">
        <f t="shared" si="15"/>
        <v>0.10946497592794438</v>
      </c>
      <c r="AG72">
        <f t="shared" si="16"/>
        <v>7.7790958403521312E-4</v>
      </c>
      <c r="AH72">
        <f t="shared" si="17"/>
        <v>-3.246998200565316E-2</v>
      </c>
      <c r="AI72">
        <f t="shared" si="18"/>
        <v>8.438065520544857E-3</v>
      </c>
      <c r="AJ72">
        <f t="shared" si="25"/>
        <v>1.6589847164597934E-2</v>
      </c>
      <c r="AK72">
        <f t="shared" si="19"/>
        <v>6.00120059410236E-2</v>
      </c>
      <c r="AL72">
        <f t="shared" si="20"/>
        <v>-2.7032604209657494E-2</v>
      </c>
      <c r="AM72">
        <f t="shared" si="21"/>
        <v>-5.2505432204521245E-2</v>
      </c>
      <c r="AN72">
        <f t="shared" si="22"/>
        <v>-7.3148061051575924E-2</v>
      </c>
    </row>
    <row r="73" spans="1:40">
      <c r="A73" s="37">
        <v>38687</v>
      </c>
      <c r="B73" s="1">
        <v>20.641019999999997</v>
      </c>
      <c r="C73" s="1">
        <v>30.210826999999998</v>
      </c>
      <c r="D73" s="1">
        <v>23.564916999999998</v>
      </c>
      <c r="E73" s="1">
        <v>312.55490099999997</v>
      </c>
      <c r="F73" s="1">
        <v>23.418759999999999</v>
      </c>
      <c r="G73" s="1">
        <v>17.802669999999999</v>
      </c>
      <c r="H73" s="1">
        <v>23.139046</v>
      </c>
      <c r="I73" s="1">
        <v>33.042781999999995</v>
      </c>
      <c r="J73" s="1">
        <v>28.924344999999999</v>
      </c>
      <c r="K73" s="1">
        <v>9.4487740000000002</v>
      </c>
      <c r="L73" s="1">
        <v>38.112456999999999</v>
      </c>
      <c r="M73" s="1">
        <v>20.821334999999998</v>
      </c>
      <c r="N73" s="1">
        <v>18.188672999999998</v>
      </c>
      <c r="O73" s="1">
        <v>12.140179999999999</v>
      </c>
      <c r="P73" s="1">
        <v>2.1560570000000001</v>
      </c>
      <c r="Q73" s="1">
        <v>2.3574999999999999</v>
      </c>
      <c r="R73" s="1">
        <v>18.268060999999999</v>
      </c>
      <c r="S73" s="1">
        <v>42.408977999999998</v>
      </c>
      <c r="V73" s="37">
        <v>38687</v>
      </c>
      <c r="W73">
        <f t="shared" si="23"/>
        <v>1.5447104842687142E-2</v>
      </c>
      <c r="X73">
        <f t="shared" si="24"/>
        <v>-4.1603693933966159E-2</v>
      </c>
      <c r="Y73">
        <f t="shared" si="8"/>
        <v>1.5122056233002115E-3</v>
      </c>
      <c r="Z73">
        <f t="shared" si="9"/>
        <v>-4.0181027268550058E-2</v>
      </c>
      <c r="AA73">
        <f t="shared" si="10"/>
        <v>6.721414797367585E-2</v>
      </c>
      <c r="AB73">
        <f t="shared" si="11"/>
        <v>8.2322483088211121E-3</v>
      </c>
      <c r="AC73">
        <f t="shared" si="12"/>
        <v>5.9579076855631741E-2</v>
      </c>
      <c r="AD73">
        <f t="shared" si="13"/>
        <v>2.3324488839953132E-2</v>
      </c>
      <c r="AE73">
        <f t="shared" si="14"/>
        <v>2.6999366796378623E-2</v>
      </c>
      <c r="AF73">
        <f t="shared" si="15"/>
        <v>0.1012006425383863</v>
      </c>
      <c r="AG73">
        <f t="shared" si="16"/>
        <v>1.9238224394716896E-2</v>
      </c>
      <c r="AH73">
        <f t="shared" si="17"/>
        <v>6.9943161665666595E-2</v>
      </c>
      <c r="AI73">
        <f t="shared" si="18"/>
        <v>-7.4806446847441848E-3</v>
      </c>
      <c r="AJ73">
        <f t="shared" si="25"/>
        <v>1.545809040722624E-2</v>
      </c>
      <c r="AK73">
        <f t="shared" si="19"/>
        <v>5.0354883938597168E-2</v>
      </c>
      <c r="AL73">
        <f t="shared" si="20"/>
        <v>-4.9416755037115519E-2</v>
      </c>
      <c r="AM73">
        <f t="shared" si="21"/>
        <v>7.6482118162403703E-2</v>
      </c>
      <c r="AN73">
        <f t="shared" si="22"/>
        <v>-1.0949285314067251E-2</v>
      </c>
    </row>
    <row r="74" spans="1:40">
      <c r="A74" s="37">
        <v>38718</v>
      </c>
      <c r="B74" s="1">
        <v>20.959864</v>
      </c>
      <c r="C74" s="1">
        <v>28.953944999999997</v>
      </c>
      <c r="D74" s="1">
        <v>23.600552</v>
      </c>
      <c r="E74" s="1">
        <v>299.99612400000001</v>
      </c>
      <c r="F74" s="1">
        <v>24.992832</v>
      </c>
      <c r="G74" s="1">
        <v>17.949225999999999</v>
      </c>
      <c r="H74" s="1">
        <v>24.517648999999999</v>
      </c>
      <c r="I74" s="1">
        <v>33.813488</v>
      </c>
      <c r="J74" s="1">
        <v>29.705283999999999</v>
      </c>
      <c r="K74" s="1">
        <v>10.404995999999999</v>
      </c>
      <c r="L74" s="1">
        <v>38.845672999999998</v>
      </c>
      <c r="M74" s="1">
        <v>22.277645</v>
      </c>
      <c r="N74" s="1">
        <v>18.052609999999998</v>
      </c>
      <c r="O74" s="1">
        <v>12.327843999999999</v>
      </c>
      <c r="P74" s="1">
        <v>2.2646250000000001</v>
      </c>
      <c r="Q74" s="1">
        <v>2.2410000000000001</v>
      </c>
      <c r="R74" s="1">
        <v>19.665240999999998</v>
      </c>
      <c r="S74" s="1">
        <v>41.944629999999997</v>
      </c>
      <c r="V74" s="37">
        <v>38718</v>
      </c>
      <c r="W74">
        <f t="shared" si="23"/>
        <v>9.6887365299698547E-2</v>
      </c>
      <c r="X74">
        <f t="shared" si="24"/>
        <v>3.662651151682441E-2</v>
      </c>
      <c r="Y74">
        <f t="shared" si="8"/>
        <v>4.3798467086701987E-2</v>
      </c>
      <c r="Z74">
        <f t="shared" si="9"/>
        <v>-4.5087249193926093E-3</v>
      </c>
      <c r="AA74">
        <f t="shared" si="10"/>
        <v>1.7252866741952189E-2</v>
      </c>
      <c r="AB74">
        <f t="shared" si="11"/>
        <v>6.6186475115974266E-2</v>
      </c>
      <c r="AC74">
        <f t="shared" si="12"/>
        <v>6.2848644256225453E-2</v>
      </c>
      <c r="AD74">
        <f t="shared" si="13"/>
        <v>1.6672252208940981E-2</v>
      </c>
      <c r="AE74">
        <f t="shared" si="14"/>
        <v>2.2430487451323484E-2</v>
      </c>
      <c r="AF74">
        <f t="shared" si="15"/>
        <v>1.9859786587135757E-2</v>
      </c>
      <c r="AG74">
        <f t="shared" si="16"/>
        <v>2.9614263601508397E-2</v>
      </c>
      <c r="AH74">
        <f t="shared" si="17"/>
        <v>-2.8266452760155303E-3</v>
      </c>
      <c r="AI74">
        <f t="shared" si="18"/>
        <v>2.9506093578712554E-2</v>
      </c>
      <c r="AJ74">
        <f t="shared" si="25"/>
        <v>8.0918285468245726E-2</v>
      </c>
      <c r="AK74">
        <f t="shared" si="19"/>
        <v>-9.2968593034166908E-2</v>
      </c>
      <c r="AL74">
        <f t="shared" si="20"/>
        <v>-0.16465863453815269</v>
      </c>
      <c r="AM74">
        <f t="shared" si="21"/>
        <v>-4.5471245432486561E-2</v>
      </c>
      <c r="AN74">
        <f t="shared" si="22"/>
        <v>-1.3038117155879003E-2</v>
      </c>
    </row>
    <row r="75" spans="1:40">
      <c r="A75" s="37">
        <v>38749</v>
      </c>
      <c r="B75" s="1">
        <v>22.99061</v>
      </c>
      <c r="C75" s="1">
        <v>30.014426999999998</v>
      </c>
      <c r="D75" s="1">
        <v>24.634219999999999</v>
      </c>
      <c r="E75" s="1">
        <v>298.64352400000001</v>
      </c>
      <c r="F75" s="1">
        <v>25.424029999999998</v>
      </c>
      <c r="G75" s="1">
        <v>19.137221999999998</v>
      </c>
      <c r="H75" s="1">
        <v>26.05855</v>
      </c>
      <c r="I75" s="1">
        <v>34.377234999999999</v>
      </c>
      <c r="J75" s="1">
        <v>30.371587999999999</v>
      </c>
      <c r="K75" s="1">
        <v>10.611637</v>
      </c>
      <c r="L75" s="1">
        <v>39.996058999999995</v>
      </c>
      <c r="M75" s="1">
        <v>22.214673999999999</v>
      </c>
      <c r="N75" s="1">
        <v>18.585272</v>
      </c>
      <c r="O75" s="1">
        <v>13.325391999999999</v>
      </c>
      <c r="P75" s="1">
        <v>2.0540859999999999</v>
      </c>
      <c r="Q75" s="1">
        <v>1.8719999999999999</v>
      </c>
      <c r="R75" s="1">
        <v>18.771038000000001</v>
      </c>
      <c r="S75" s="1">
        <v>41.397751</v>
      </c>
      <c r="V75" s="37">
        <v>38749</v>
      </c>
      <c r="W75">
        <f t="shared" si="23"/>
        <v>-1.4936532784471687E-3</v>
      </c>
      <c r="X75">
        <f t="shared" si="24"/>
        <v>-6.7605821693681126E-3</v>
      </c>
      <c r="Y75">
        <f t="shared" si="8"/>
        <v>1.2153703263184263E-2</v>
      </c>
      <c r="Z75">
        <f t="shared" si="9"/>
        <v>2.9434339918919462E-2</v>
      </c>
      <c r="AA75">
        <f t="shared" si="10"/>
        <v>-5.7659112265050064E-2</v>
      </c>
      <c r="AB75">
        <f t="shared" si="11"/>
        <v>2.7590524894365618E-2</v>
      </c>
      <c r="AC75">
        <f t="shared" si="12"/>
        <v>3.6449380337739319E-2</v>
      </c>
      <c r="AD75">
        <f t="shared" si="13"/>
        <v>-3.8378508335530782E-2</v>
      </c>
      <c r="AE75">
        <f t="shared" si="14"/>
        <v>1.0371370769286074E-2</v>
      </c>
      <c r="AF75">
        <f t="shared" si="15"/>
        <v>-3.9335118606111413E-2</v>
      </c>
      <c r="AG75">
        <f t="shared" si="16"/>
        <v>-2.468475706568975E-2</v>
      </c>
      <c r="AH75">
        <f t="shared" si="17"/>
        <v>-9.7925317292524738E-2</v>
      </c>
      <c r="AI75">
        <f t="shared" si="18"/>
        <v>3.2250267846496376E-3</v>
      </c>
      <c r="AJ75">
        <f t="shared" si="25"/>
        <v>-3.0292242059370547E-2</v>
      </c>
      <c r="AK75">
        <f t="shared" si="19"/>
        <v>-8.4245255554051754E-2</v>
      </c>
      <c r="AL75">
        <f t="shared" si="20"/>
        <v>-2.430555555555549E-2</v>
      </c>
      <c r="AM75">
        <f t="shared" si="21"/>
        <v>1.6085365124720183E-2</v>
      </c>
      <c r="AN75">
        <f t="shared" si="22"/>
        <v>3.0372616135596265E-2</v>
      </c>
    </row>
    <row r="76" spans="1:40">
      <c r="A76" s="37">
        <v>38777</v>
      </c>
      <c r="B76" s="1">
        <v>22.95627</v>
      </c>
      <c r="C76" s="1">
        <v>29.811511999999997</v>
      </c>
      <c r="D76" s="1">
        <v>24.933616999999998</v>
      </c>
      <c r="E76" s="1">
        <v>307.433899</v>
      </c>
      <c r="F76" s="1">
        <v>23.958102999999998</v>
      </c>
      <c r="G76" s="1">
        <v>19.665227999999999</v>
      </c>
      <c r="H76" s="1">
        <v>27.008367999999997</v>
      </c>
      <c r="I76" s="1">
        <v>33.057887999999998</v>
      </c>
      <c r="J76" s="1">
        <v>30.686582999999999</v>
      </c>
      <c r="K76" s="1">
        <v>10.194227</v>
      </c>
      <c r="L76" s="1">
        <v>39.008766000000001</v>
      </c>
      <c r="M76" s="1">
        <v>20.039294999999999</v>
      </c>
      <c r="N76" s="1">
        <v>18.645209999999999</v>
      </c>
      <c r="O76" s="1">
        <v>12.921735999999999</v>
      </c>
      <c r="P76" s="1">
        <v>1.8810389999999999</v>
      </c>
      <c r="Q76" s="1">
        <v>1.8265</v>
      </c>
      <c r="R76" s="1">
        <v>19.072976999999998</v>
      </c>
      <c r="S76" s="1">
        <v>42.655108999999996</v>
      </c>
      <c r="V76" s="37">
        <v>38777</v>
      </c>
      <c r="W76">
        <f t="shared" si="23"/>
        <v>9.3493716531474758E-2</v>
      </c>
      <c r="X76">
        <f t="shared" si="24"/>
        <v>0.10826458584187219</v>
      </c>
      <c r="Y76">
        <f t="shared" si="8"/>
        <v>8.9817574401660258E-2</v>
      </c>
      <c r="Z76">
        <f t="shared" si="9"/>
        <v>5.7590265932254893E-2</v>
      </c>
      <c r="AA76">
        <f t="shared" si="10"/>
        <v>2.0767712702462377E-2</v>
      </c>
      <c r="AB76">
        <f t="shared" si="11"/>
        <v>7.0159725582637528E-2</v>
      </c>
      <c r="AC76">
        <f t="shared" si="12"/>
        <v>0.11595224857718174</v>
      </c>
      <c r="AD76">
        <f t="shared" si="13"/>
        <v>1.0064254558548997E-2</v>
      </c>
      <c r="AE76">
        <f t="shared" si="14"/>
        <v>3.7251198675329819E-2</v>
      </c>
      <c r="AF76">
        <f t="shared" si="15"/>
        <v>1.6453037586861667E-2</v>
      </c>
      <c r="AG76">
        <f t="shared" si="16"/>
        <v>2.397732858301635E-2</v>
      </c>
      <c r="AH76">
        <f t="shared" si="17"/>
        <v>-2.054533355589605E-2</v>
      </c>
      <c r="AI76">
        <f t="shared" si="18"/>
        <v>7.5466353020427215E-2</v>
      </c>
      <c r="AJ76">
        <f t="shared" si="25"/>
        <v>9.9289290541147227E-3</v>
      </c>
      <c r="AK76">
        <f t="shared" si="19"/>
        <v>0.12228933052424744</v>
      </c>
      <c r="AL76">
        <f t="shared" si="20"/>
        <v>-3.6134683821516592E-2</v>
      </c>
      <c r="AM76">
        <f t="shared" si="21"/>
        <v>-0.11245868958998891</v>
      </c>
      <c r="AN76">
        <f t="shared" si="22"/>
        <v>-1.5766692801089993E-3</v>
      </c>
    </row>
    <row r="77" spans="1:40">
      <c r="A77" s="37">
        <v>38808</v>
      </c>
      <c r="B77" s="1">
        <v>25.102536999999998</v>
      </c>
      <c r="C77" s="1">
        <v>33.039042999999999</v>
      </c>
      <c r="D77" s="1">
        <v>27.173093999999999</v>
      </c>
      <c r="E77" s="1">
        <v>325.13909899999999</v>
      </c>
      <c r="F77" s="1">
        <v>24.455658</v>
      </c>
      <c r="G77" s="1">
        <v>21.044934999999999</v>
      </c>
      <c r="H77" s="1">
        <v>30.140048999999998</v>
      </c>
      <c r="I77" s="1">
        <v>33.390591000000001</v>
      </c>
      <c r="J77" s="1">
        <v>31.829694999999997</v>
      </c>
      <c r="K77" s="1">
        <v>10.361953</v>
      </c>
      <c r="L77" s="1">
        <v>39.944091999999998</v>
      </c>
      <c r="M77" s="1">
        <v>19.627580999999999</v>
      </c>
      <c r="N77" s="1">
        <v>20.052295999999998</v>
      </c>
      <c r="O77" s="1">
        <v>13.050034999999999</v>
      </c>
      <c r="P77" s="1">
        <v>2.1110699999999998</v>
      </c>
      <c r="Q77" s="1">
        <v>1.7605</v>
      </c>
      <c r="R77" s="1">
        <v>16.928055000000001</v>
      </c>
      <c r="S77" s="1">
        <v>42.587855999999995</v>
      </c>
      <c r="V77" s="37">
        <v>38808</v>
      </c>
      <c r="W77">
        <f t="shared" si="23"/>
        <v>-7.0210313802146679E-2</v>
      </c>
      <c r="X77">
        <f t="shared" si="24"/>
        <v>-3.0448823835484588E-2</v>
      </c>
      <c r="Y77">
        <f t="shared" si="8"/>
        <v>-5.269756914689213E-2</v>
      </c>
      <c r="Z77">
        <f t="shared" si="9"/>
        <v>-2.7795703524417094E-3</v>
      </c>
      <c r="AA77">
        <f t="shared" si="10"/>
        <v>-2.3103119940587974E-2</v>
      </c>
      <c r="AB77">
        <f t="shared" si="11"/>
        <v>-6.448287913457558E-2</v>
      </c>
      <c r="AC77">
        <f t="shared" si="12"/>
        <v>-2.4834531622692457E-2</v>
      </c>
      <c r="AD77">
        <f t="shared" si="13"/>
        <v>-6.2856689179296099E-2</v>
      </c>
      <c r="AE77">
        <f t="shared" si="14"/>
        <v>-7.0813245304424066E-2</v>
      </c>
      <c r="AF77">
        <f t="shared" si="15"/>
        <v>-6.5929752817832712E-2</v>
      </c>
      <c r="AG77">
        <f t="shared" si="16"/>
        <v>1.2503651353496872E-2</v>
      </c>
      <c r="AH77">
        <f t="shared" si="17"/>
        <v>-2.5413065420542641E-2</v>
      </c>
      <c r="AI77">
        <f t="shared" si="18"/>
        <v>-3.3775533734391322E-2</v>
      </c>
      <c r="AJ77">
        <f t="shared" si="25"/>
        <v>-2.9527507014348971E-2</v>
      </c>
      <c r="AK77">
        <f t="shared" si="19"/>
        <v>-0.15087372754100994</v>
      </c>
      <c r="AL77">
        <f t="shared" si="20"/>
        <v>-1.7040613462084651E-2</v>
      </c>
      <c r="AM77">
        <f t="shared" si="21"/>
        <v>-6.2111861049600862E-2</v>
      </c>
      <c r="AN77">
        <f t="shared" si="22"/>
        <v>-2.9632696231526586E-2</v>
      </c>
    </row>
    <row r="78" spans="1:40">
      <c r="A78" s="37">
        <v>38838</v>
      </c>
      <c r="B78" s="1">
        <v>23.34008</v>
      </c>
      <c r="C78" s="1">
        <v>32.033042999999999</v>
      </c>
      <c r="D78" s="1">
        <v>25.741137999999999</v>
      </c>
      <c r="E78" s="1">
        <v>324.23535199999998</v>
      </c>
      <c r="F78" s="1">
        <v>23.890656</v>
      </c>
      <c r="G78" s="1">
        <v>19.687897</v>
      </c>
      <c r="H78" s="1">
        <v>29.391534999999998</v>
      </c>
      <c r="I78" s="1">
        <v>31.291768999999999</v>
      </c>
      <c r="J78" s="1">
        <v>29.575730999999998</v>
      </c>
      <c r="K78" s="1">
        <v>9.6787919999999996</v>
      </c>
      <c r="L78" s="1">
        <v>40.443539000000001</v>
      </c>
      <c r="M78" s="1">
        <v>19.128784</v>
      </c>
      <c r="N78" s="1">
        <v>19.375018999999998</v>
      </c>
      <c r="O78" s="1">
        <v>12.6647</v>
      </c>
      <c r="P78" s="1">
        <v>1.792565</v>
      </c>
      <c r="Q78" s="1">
        <v>1.7304999999999999</v>
      </c>
      <c r="R78" s="1">
        <v>15.876621999999999</v>
      </c>
      <c r="S78" s="1">
        <v>41.325862999999998</v>
      </c>
      <c r="V78" s="37">
        <v>38838</v>
      </c>
      <c r="W78">
        <f t="shared" si="23"/>
        <v>-1.2297772758276856E-2</v>
      </c>
      <c r="X78">
        <f t="shared" si="24"/>
        <v>4.110380646634092E-3</v>
      </c>
      <c r="Y78">
        <f t="shared" si="8"/>
        <v>-1.5009282029411413E-2</v>
      </c>
      <c r="Z78">
        <f t="shared" si="9"/>
        <v>-2.1298140247211439E-2</v>
      </c>
      <c r="AA78">
        <f t="shared" si="10"/>
        <v>-4.0581221377931256E-2</v>
      </c>
      <c r="AB78">
        <f t="shared" si="11"/>
        <v>5.080634056547571E-3</v>
      </c>
      <c r="AC78">
        <f t="shared" si="12"/>
        <v>-2.4649648274579754E-2</v>
      </c>
      <c r="AD78">
        <f t="shared" si="13"/>
        <v>2.488513832503356E-2</v>
      </c>
      <c r="AE78">
        <f t="shared" si="14"/>
        <v>-2.7394251049957141E-2</v>
      </c>
      <c r="AF78">
        <f t="shared" si="15"/>
        <v>1.3906694141169941E-3</v>
      </c>
      <c r="AG78">
        <f t="shared" si="16"/>
        <v>-2.0971458506635635E-2</v>
      </c>
      <c r="AH78">
        <f t="shared" si="17"/>
        <v>2.3047309227810862E-2</v>
      </c>
      <c r="AI78">
        <f t="shared" si="18"/>
        <v>1.8499027020309058E-2</v>
      </c>
      <c r="AJ78">
        <f t="shared" si="25"/>
        <v>-6.3802458802814183E-2</v>
      </c>
      <c r="AK78">
        <f t="shared" si="19"/>
        <v>-4.182721407591914E-2</v>
      </c>
      <c r="AL78">
        <f t="shared" si="20"/>
        <v>0.11759607049985554</v>
      </c>
      <c r="AM78">
        <f t="shared" si="21"/>
        <v>3.2708909993574169E-2</v>
      </c>
      <c r="AN78">
        <f t="shared" si="22"/>
        <v>-3.5072250033834712E-2</v>
      </c>
    </row>
    <row r="79" spans="1:40">
      <c r="A79" s="37">
        <v>38869</v>
      </c>
      <c r="B79" s="1">
        <v>23.053048999999998</v>
      </c>
      <c r="C79" s="1">
        <v>32.164710999999997</v>
      </c>
      <c r="D79" s="1">
        <v>25.354782</v>
      </c>
      <c r="E79" s="1">
        <v>317.32974200000001</v>
      </c>
      <c r="F79" s="1">
        <v>22.921143999999998</v>
      </c>
      <c r="G79" s="1">
        <v>19.787924</v>
      </c>
      <c r="H79" s="1">
        <v>28.667043999999997</v>
      </c>
      <c r="I79" s="1">
        <v>32.070468999999996</v>
      </c>
      <c r="J79" s="1">
        <v>28.765525999999998</v>
      </c>
      <c r="K79" s="1">
        <v>9.6922519999999999</v>
      </c>
      <c r="L79" s="1">
        <v>39.595379000000001</v>
      </c>
      <c r="M79" s="1">
        <v>19.569651</v>
      </c>
      <c r="N79" s="1">
        <v>19.733438</v>
      </c>
      <c r="O79" s="1">
        <v>11.856660999999999</v>
      </c>
      <c r="P79" s="1">
        <v>1.717587</v>
      </c>
      <c r="Q79" s="1">
        <v>1.9339999999999999</v>
      </c>
      <c r="R79" s="1">
        <v>16.395928999999999</v>
      </c>
      <c r="S79" s="1">
        <v>39.876472</v>
      </c>
      <c r="V79" s="37">
        <v>38869</v>
      </c>
      <c r="W79">
        <f t="shared" si="23"/>
        <v>3.3420438224895987E-2</v>
      </c>
      <c r="X79">
        <f t="shared" si="24"/>
        <v>7.1310978046717155E-2</v>
      </c>
      <c r="Y79">
        <f t="shared" si="8"/>
        <v>8.6190250028574431E-2</v>
      </c>
      <c r="Z79">
        <f t="shared" si="9"/>
        <v>1.2434794088730145E-3</v>
      </c>
      <c r="AA79">
        <f t="shared" si="10"/>
        <v>5.1372479488807396E-2</v>
      </c>
      <c r="AB79">
        <f t="shared" si="11"/>
        <v>-3.7115464967421588E-2</v>
      </c>
      <c r="AC79">
        <f t="shared" si="12"/>
        <v>-0.12652968335347026</v>
      </c>
      <c r="AD79">
        <f t="shared" si="13"/>
        <v>1.0791142468169116E-2</v>
      </c>
      <c r="AE79">
        <f t="shared" si="14"/>
        <v>-3.3558920493927273E-2</v>
      </c>
      <c r="AF79">
        <f t="shared" si="15"/>
        <v>0.10737071219361606</v>
      </c>
      <c r="AG79">
        <f t="shared" si="16"/>
        <v>-2.1796306079050323E-2</v>
      </c>
      <c r="AH79">
        <f t="shared" si="17"/>
        <v>-9.6576632868925594E-2</v>
      </c>
      <c r="AI79">
        <f t="shared" si="18"/>
        <v>7.8414060438936159E-2</v>
      </c>
      <c r="AJ79">
        <f t="shared" si="25"/>
        <v>1.698218410731318E-2</v>
      </c>
      <c r="AK79">
        <f t="shared" si="19"/>
        <v>0.18666012260223211</v>
      </c>
      <c r="AL79">
        <f t="shared" si="20"/>
        <v>-0.30480868665977245</v>
      </c>
      <c r="AM79">
        <f t="shared" si="21"/>
        <v>3.2618096845869554E-2</v>
      </c>
      <c r="AN79">
        <f t="shared" si="22"/>
        <v>7.6802932817126171E-3</v>
      </c>
    </row>
    <row r="80" spans="1:40">
      <c r="A80" s="37">
        <v>38899</v>
      </c>
      <c r="B80" s="1">
        <v>23.823491999999998</v>
      </c>
      <c r="C80" s="1">
        <v>34.458407999999999</v>
      </c>
      <c r="D80" s="1">
        <v>27.540116999999999</v>
      </c>
      <c r="E80" s="1">
        <v>317.724335</v>
      </c>
      <c r="F80" s="1">
        <v>24.098659999999999</v>
      </c>
      <c r="G80" s="1">
        <v>19.053485999999999</v>
      </c>
      <c r="H80" s="1">
        <v>25.039811999999998</v>
      </c>
      <c r="I80" s="1">
        <v>32.416545999999997</v>
      </c>
      <c r="J80" s="1">
        <v>27.800186</v>
      </c>
      <c r="K80" s="1">
        <v>10.732915999999999</v>
      </c>
      <c r="L80" s="1">
        <v>38.732346</v>
      </c>
      <c r="M80" s="1">
        <v>17.679679999999998</v>
      </c>
      <c r="N80" s="1">
        <v>21.280816999999999</v>
      </c>
      <c r="O80" s="1">
        <v>12.058012999999999</v>
      </c>
      <c r="P80" s="1">
        <v>2.038192</v>
      </c>
      <c r="Q80" s="1">
        <v>1.3445</v>
      </c>
      <c r="R80" s="1">
        <v>16.930733</v>
      </c>
      <c r="S80" s="1">
        <v>40.182735000000001</v>
      </c>
      <c r="V80" s="37">
        <v>38899</v>
      </c>
      <c r="W80">
        <f t="shared" si="23"/>
        <v>6.9541400563779762E-2</v>
      </c>
      <c r="X80">
        <f t="shared" si="24"/>
        <v>-1.1649406438046415E-3</v>
      </c>
      <c r="Y80">
        <f t="shared" si="8"/>
        <v>9.0452774764900115E-3</v>
      </c>
      <c r="Z80">
        <f t="shared" si="9"/>
        <v>2.1527601906854172E-2</v>
      </c>
      <c r="AA80">
        <f t="shared" si="10"/>
        <v>6.8442311730195757E-2</v>
      </c>
      <c r="AB80">
        <f t="shared" si="11"/>
        <v>8.1743414302243592E-2</v>
      </c>
      <c r="AC80">
        <f t="shared" si="12"/>
        <v>7.6202409187417303E-2</v>
      </c>
      <c r="AD80">
        <f t="shared" si="13"/>
        <v>0.10757580403538376</v>
      </c>
      <c r="AE80">
        <f t="shared" si="14"/>
        <v>4.0996668151788589E-2</v>
      </c>
      <c r="AF80">
        <f t="shared" si="15"/>
        <v>6.0407628271757711E-2</v>
      </c>
      <c r="AG80">
        <f t="shared" si="16"/>
        <v>1.204969613769325E-2</v>
      </c>
      <c r="AH80">
        <f t="shared" si="17"/>
        <v>1.5786824195913179E-2</v>
      </c>
      <c r="AI80">
        <f t="shared" si="18"/>
        <v>-3.9258878077848169E-2</v>
      </c>
      <c r="AJ80">
        <f t="shared" si="25"/>
        <v>0.12878033885019033</v>
      </c>
      <c r="AK80">
        <f t="shared" si="19"/>
        <v>-1.6190820099383683E-3</v>
      </c>
      <c r="AL80">
        <f t="shared" si="20"/>
        <v>0.14652287095574551</v>
      </c>
      <c r="AM80">
        <f t="shared" si="21"/>
        <v>6.8162967309212216E-2</v>
      </c>
      <c r="AN80">
        <f t="shared" si="22"/>
        <v>4.598875611627716E-2</v>
      </c>
    </row>
    <row r="81" spans="1:40">
      <c r="A81" s="37">
        <v>38930</v>
      </c>
      <c r="B81" s="1">
        <v>25.480211000000001</v>
      </c>
      <c r="C81" s="1">
        <v>34.418265999999996</v>
      </c>
      <c r="D81" s="1">
        <v>27.789224999999998</v>
      </c>
      <c r="E81" s="1">
        <v>324.56417799999997</v>
      </c>
      <c r="F81" s="1">
        <v>25.748027999999998</v>
      </c>
      <c r="G81" s="1">
        <v>20.610982999999997</v>
      </c>
      <c r="H81" s="1">
        <v>26.947906</v>
      </c>
      <c r="I81" s="1">
        <v>35.903782</v>
      </c>
      <c r="J81" s="1">
        <v>28.939900999999999</v>
      </c>
      <c r="K81" s="1">
        <v>11.381266</v>
      </c>
      <c r="L81" s="1">
        <v>39.199058999999998</v>
      </c>
      <c r="M81" s="1">
        <v>17.958786</v>
      </c>
      <c r="N81" s="1">
        <v>20.445356</v>
      </c>
      <c r="O81" s="1">
        <v>13.610847999999999</v>
      </c>
      <c r="P81" s="1">
        <v>2.0348919999999997</v>
      </c>
      <c r="Q81" s="1">
        <v>1.5414999999999999</v>
      </c>
      <c r="R81" s="1">
        <v>18.084782000000001</v>
      </c>
      <c r="S81" s="1">
        <v>42.030688999999995</v>
      </c>
      <c r="V81" s="37">
        <v>38930</v>
      </c>
      <c r="W81">
        <f t="shared" si="23"/>
        <v>1.964336166603952E-2</v>
      </c>
      <c r="X81">
        <f t="shared" si="24"/>
        <v>5.2067265678055981E-2</v>
      </c>
      <c r="Y81">
        <f t="shared" si="8"/>
        <v>2.847114304195246E-2</v>
      </c>
      <c r="Z81">
        <f t="shared" si="9"/>
        <v>1.6709327053338583E-2</v>
      </c>
      <c r="AA81">
        <f t="shared" si="10"/>
        <v>1.3070826239586214E-2</v>
      </c>
      <c r="AB81">
        <f t="shared" si="11"/>
        <v>0.13770420362774557</v>
      </c>
      <c r="AC81">
        <f t="shared" si="12"/>
        <v>7.4391976875679958E-2</v>
      </c>
      <c r="AD81">
        <f t="shared" si="13"/>
        <v>1.2920644404535229E-3</v>
      </c>
      <c r="AE81">
        <f t="shared" si="14"/>
        <v>5.5472857353589401E-2</v>
      </c>
      <c r="AF81">
        <f t="shared" si="15"/>
        <v>3.8555728334615819E-2</v>
      </c>
      <c r="AG81">
        <f t="shared" si="16"/>
        <v>6.7377127598904879E-2</v>
      </c>
      <c r="AH81">
        <f t="shared" si="17"/>
        <v>2.8439672926666673E-2</v>
      </c>
      <c r="AI81">
        <f t="shared" si="18"/>
        <v>4.9251086652636368E-2</v>
      </c>
      <c r="AJ81">
        <f t="shared" si="25"/>
        <v>2.2299124933288585E-2</v>
      </c>
      <c r="AK81">
        <f t="shared" si="19"/>
        <v>0.13456193252516599</v>
      </c>
      <c r="AL81">
        <f t="shared" si="20"/>
        <v>4.1842361336360691E-2</v>
      </c>
      <c r="AM81">
        <f t="shared" si="21"/>
        <v>6.8121252443076097E-2</v>
      </c>
      <c r="AN81">
        <f t="shared" si="22"/>
        <v>1.6015749825086124E-2</v>
      </c>
    </row>
    <row r="82" spans="1:40">
      <c r="A82" s="37">
        <v>38961</v>
      </c>
      <c r="B82" s="1">
        <v>25.980727999999999</v>
      </c>
      <c r="C82" s="1">
        <v>36.210330999999996</v>
      </c>
      <c r="D82" s="1">
        <v>28.580416</v>
      </c>
      <c r="E82" s="1">
        <v>329.98742699999997</v>
      </c>
      <c r="F82" s="1">
        <v>26.084575999999998</v>
      </c>
      <c r="G82" s="1">
        <v>23.449202</v>
      </c>
      <c r="H82" s="1">
        <v>28.952613999999997</v>
      </c>
      <c r="I82" s="1">
        <v>35.950171999999995</v>
      </c>
      <c r="J82" s="1">
        <v>30.545279999999998</v>
      </c>
      <c r="K82" s="1">
        <v>11.820079</v>
      </c>
      <c r="L82" s="1">
        <v>41.840178999999999</v>
      </c>
      <c r="M82" s="1">
        <v>18.469528</v>
      </c>
      <c r="N82" s="1">
        <v>21.452311999999999</v>
      </c>
      <c r="O82" s="1">
        <v>13.914358</v>
      </c>
      <c r="P82" s="1">
        <v>2.3087109999999997</v>
      </c>
      <c r="Q82" s="1">
        <v>1.6059999999999999</v>
      </c>
      <c r="R82" s="1">
        <v>19.316739999999999</v>
      </c>
      <c r="S82" s="1">
        <v>42.703841999999995</v>
      </c>
      <c r="V82" s="37">
        <v>38961</v>
      </c>
      <c r="W82">
        <f t="shared" si="23"/>
        <v>6.9725798291718308E-2</v>
      </c>
      <c r="X82">
        <f t="shared" si="24"/>
        <v>5.6005287551777394E-3</v>
      </c>
      <c r="Y82">
        <f t="shared" ref="Y82:Y145" si="26">(D83-D82)/D82</f>
        <v>1.0221719655864957E-2</v>
      </c>
      <c r="Z82">
        <f t="shared" ref="Z82:Z145" si="27">(E83-E82)/E82</f>
        <v>9.865136467760105E-3</v>
      </c>
      <c r="AA82">
        <f t="shared" ref="AA82:AA145" si="28">(F83-F82)/F82</f>
        <v>2.024035199958785E-2</v>
      </c>
      <c r="AB82">
        <f t="shared" ref="AB82:AB145" si="29">(G83-G82)/G82</f>
        <v>1.9381981527558947E-2</v>
      </c>
      <c r="AC82">
        <f t="shared" ref="AC82:AC145" si="30">(H83-H82)/H82</f>
        <v>1.9339566368687899E-2</v>
      </c>
      <c r="AD82">
        <f t="shared" ref="AD82:AD145" si="31">(I83-I82)/I82</f>
        <v>2.2749515635140844E-2</v>
      </c>
      <c r="AE82">
        <f t="shared" ref="AE82:AE145" si="32">(J83-J82)/J82</f>
        <v>-3.8111321945649146E-2</v>
      </c>
      <c r="AF82">
        <f t="shared" ref="AF82:AF145" si="33">(K83-K82)/K82</f>
        <v>-6.0295874503038444E-2</v>
      </c>
      <c r="AG82">
        <f t="shared" ref="AG82:AG145" si="34">(L83-L82)/L82</f>
        <v>3.0848792496800642E-2</v>
      </c>
      <c r="AH82">
        <f t="shared" ref="AH82:AH145" si="35">(M83-M82)/M82</f>
        <v>5.1784160374861769E-2</v>
      </c>
      <c r="AI82">
        <f t="shared" ref="AI82:AI145" si="36">(N83-N82)/N82</f>
        <v>3.0399986724040967E-3</v>
      </c>
      <c r="AJ82">
        <f t="shared" si="25"/>
        <v>-1.3054285364800883E-2</v>
      </c>
      <c r="AK82">
        <f t="shared" si="19"/>
        <v>5.3260455726160595E-2</v>
      </c>
      <c r="AL82">
        <f t="shared" si="20"/>
        <v>0.18586550435865504</v>
      </c>
      <c r="AM82">
        <f t="shared" si="21"/>
        <v>4.9725315969464806E-2</v>
      </c>
      <c r="AN82">
        <f t="shared" si="22"/>
        <v>0.1268002068759996</v>
      </c>
    </row>
    <row r="83" spans="1:40">
      <c r="A83" s="37">
        <v>38991</v>
      </c>
      <c r="B83" s="1">
        <v>27.792254999999997</v>
      </c>
      <c r="C83" s="1">
        <v>36.413128</v>
      </c>
      <c r="D83" s="1">
        <v>28.872556999999997</v>
      </c>
      <c r="E83" s="1">
        <v>333.24279799999999</v>
      </c>
      <c r="F83" s="1">
        <v>26.612537</v>
      </c>
      <c r="G83" s="1">
        <v>23.903693999999998</v>
      </c>
      <c r="H83" s="1">
        <v>29.512544999999999</v>
      </c>
      <c r="I83" s="1">
        <v>36.768020999999997</v>
      </c>
      <c r="J83" s="1">
        <v>29.381159</v>
      </c>
      <c r="K83" s="1">
        <v>11.107377</v>
      </c>
      <c r="L83" s="1">
        <v>43.130897999999995</v>
      </c>
      <c r="M83" s="1">
        <v>19.425957</v>
      </c>
      <c r="N83" s="1">
        <v>21.517526999999998</v>
      </c>
      <c r="O83" s="1">
        <v>13.732716</v>
      </c>
      <c r="P83" s="1">
        <v>2.4316739999999997</v>
      </c>
      <c r="Q83" s="1">
        <v>1.9044999999999999</v>
      </c>
      <c r="R83" s="1">
        <v>20.277270999999999</v>
      </c>
      <c r="S83" s="1">
        <v>48.118697999999995</v>
      </c>
      <c r="V83" s="37">
        <v>38991</v>
      </c>
      <c r="W83">
        <f t="shared" si="23"/>
        <v>-4.6029730225201123E-3</v>
      </c>
      <c r="X83">
        <f t="shared" si="24"/>
        <v>-3.7118481004990144E-4</v>
      </c>
      <c r="Y83">
        <f t="shared" si="26"/>
        <v>-1.7455745260109685E-2</v>
      </c>
      <c r="Z83">
        <f t="shared" si="27"/>
        <v>-1.1362949245192766E-2</v>
      </c>
      <c r="AA83">
        <f t="shared" si="28"/>
        <v>-3.3548774399073708E-2</v>
      </c>
      <c r="AB83">
        <f t="shared" si="29"/>
        <v>-4.1447777904118091E-2</v>
      </c>
      <c r="AC83">
        <f t="shared" si="30"/>
        <v>0.12768651432805944</v>
      </c>
      <c r="AD83">
        <f t="shared" si="31"/>
        <v>-4.5077487308875569E-3</v>
      </c>
      <c r="AE83">
        <f t="shared" si="32"/>
        <v>7.0723996966899683E-2</v>
      </c>
      <c r="AF83">
        <f t="shared" si="33"/>
        <v>3.1519682819805293E-2</v>
      </c>
      <c r="AG83">
        <f t="shared" si="34"/>
        <v>1.8469520388840543E-2</v>
      </c>
      <c r="AH83">
        <f t="shared" si="35"/>
        <v>-1.2411743730309567E-3</v>
      </c>
      <c r="AI83">
        <f t="shared" si="36"/>
        <v>-2.8933157606819766E-2</v>
      </c>
      <c r="AJ83">
        <f t="shared" si="25"/>
        <v>1.1738246097858489E-2</v>
      </c>
      <c r="AK83">
        <f t="shared" si="19"/>
        <v>0.13048829736222875</v>
      </c>
      <c r="AL83">
        <f t="shared" si="20"/>
        <v>5.907062221055398E-2</v>
      </c>
      <c r="AM83">
        <f t="shared" si="21"/>
        <v>2.2640669940249891E-2</v>
      </c>
      <c r="AN83">
        <f t="shared" si="22"/>
        <v>-4.440685406741399E-3</v>
      </c>
    </row>
    <row r="84" spans="1:40">
      <c r="A84" s="37">
        <v>39022</v>
      </c>
      <c r="B84" s="1">
        <v>27.664327999999998</v>
      </c>
      <c r="C84" s="1">
        <v>36.399611999999998</v>
      </c>
      <c r="D84" s="1">
        <v>28.368565</v>
      </c>
      <c r="E84" s="1">
        <v>329.45617699999997</v>
      </c>
      <c r="F84" s="1">
        <v>25.719718999999998</v>
      </c>
      <c r="G84" s="1">
        <v>22.912938999999998</v>
      </c>
      <c r="H84" s="1">
        <v>33.280898999999998</v>
      </c>
      <c r="I84" s="1">
        <v>36.60228</v>
      </c>
      <c r="J84" s="1">
        <v>31.459111999999998</v>
      </c>
      <c r="K84" s="1">
        <v>11.457478</v>
      </c>
      <c r="L84" s="1">
        <v>43.927504999999996</v>
      </c>
      <c r="M84" s="1">
        <v>19.401845999999999</v>
      </c>
      <c r="N84" s="1">
        <v>20.894956999999998</v>
      </c>
      <c r="O84" s="1">
        <v>13.893913999999999</v>
      </c>
      <c r="P84" s="1">
        <v>2.7489789999999998</v>
      </c>
      <c r="Q84" s="1">
        <v>2.0169999999999999</v>
      </c>
      <c r="R84" s="1">
        <v>20.736362</v>
      </c>
      <c r="S84" s="1">
        <v>47.905017999999998</v>
      </c>
      <c r="V84" s="37">
        <v>39022</v>
      </c>
      <c r="W84">
        <f t="shared" si="23"/>
        <v>7.5471741081149721E-2</v>
      </c>
      <c r="X84">
        <f t="shared" si="24"/>
        <v>1.7948268239782468E-3</v>
      </c>
      <c r="Y84">
        <f t="shared" si="26"/>
        <v>4.3647079082075428E-2</v>
      </c>
      <c r="Z84">
        <f t="shared" si="27"/>
        <v>0.13430632080697047</v>
      </c>
      <c r="AA84">
        <f t="shared" si="28"/>
        <v>-3.2765132465093242E-3</v>
      </c>
      <c r="AB84">
        <f t="shared" si="29"/>
        <v>-9.4084743995521442E-2</v>
      </c>
      <c r="AC84">
        <f t="shared" si="30"/>
        <v>-9.6869678911016225E-3</v>
      </c>
      <c r="AD84">
        <f t="shared" si="31"/>
        <v>2.3570444245549764E-2</v>
      </c>
      <c r="AE84">
        <f t="shared" si="32"/>
        <v>-1.4308414045507641E-2</v>
      </c>
      <c r="AF84">
        <f t="shared" si="33"/>
        <v>-4.9480173560010429E-2</v>
      </c>
      <c r="AG84">
        <f t="shared" si="34"/>
        <v>3.3208510248874862E-2</v>
      </c>
      <c r="AH84">
        <f t="shared" si="35"/>
        <v>1.6779898160206017E-2</v>
      </c>
      <c r="AI84">
        <f t="shared" si="36"/>
        <v>1.6926189414986571E-2</v>
      </c>
      <c r="AJ84">
        <f t="shared" si="25"/>
        <v>2.1497973861073261E-2</v>
      </c>
      <c r="AK84">
        <f t="shared" si="19"/>
        <v>-7.4405442893525214E-2</v>
      </c>
      <c r="AL84">
        <f t="shared" si="20"/>
        <v>-2.181457610312347E-2</v>
      </c>
      <c r="AM84">
        <f t="shared" si="21"/>
        <v>2.0506875796246236E-2</v>
      </c>
      <c r="AN84">
        <f t="shared" si="22"/>
        <v>6.0326728193693585E-2</v>
      </c>
    </row>
    <row r="85" spans="1:40">
      <c r="A85" s="37">
        <v>39052</v>
      </c>
      <c r="B85" s="1">
        <v>29.752202999999998</v>
      </c>
      <c r="C85" s="1">
        <v>36.464942999999998</v>
      </c>
      <c r="D85" s="1">
        <v>29.606769999999997</v>
      </c>
      <c r="E85" s="1">
        <v>373.70422400000001</v>
      </c>
      <c r="F85" s="1">
        <v>25.635448</v>
      </c>
      <c r="G85" s="1">
        <v>20.757180999999999</v>
      </c>
      <c r="H85" s="1">
        <v>32.958508000000002</v>
      </c>
      <c r="I85" s="1">
        <v>37.465012000000002</v>
      </c>
      <c r="J85" s="1">
        <v>31.008982</v>
      </c>
      <c r="K85" s="1">
        <v>10.890559999999999</v>
      </c>
      <c r="L85" s="1">
        <v>45.386271999999998</v>
      </c>
      <c r="M85" s="1">
        <v>19.727406999999999</v>
      </c>
      <c r="N85" s="1">
        <v>21.248628999999998</v>
      </c>
      <c r="O85" s="1">
        <v>14.192604999999999</v>
      </c>
      <c r="P85" s="1">
        <v>2.5444399999999998</v>
      </c>
      <c r="Q85" s="1">
        <v>1.9729999999999999</v>
      </c>
      <c r="R85" s="1">
        <v>21.1616</v>
      </c>
      <c r="S85" s="1">
        <v>50.794970999999997</v>
      </c>
      <c r="V85" s="37">
        <v>39052</v>
      </c>
      <c r="W85">
        <f t="shared" si="23"/>
        <v>1.4619858569800677E-2</v>
      </c>
      <c r="X85">
        <f t="shared" si="24"/>
        <v>-1.5171366098117929E-2</v>
      </c>
      <c r="Y85">
        <f t="shared" si="26"/>
        <v>5.4451532537997262E-2</v>
      </c>
      <c r="Z85">
        <f t="shared" si="27"/>
        <v>-1.0233603888833764E-2</v>
      </c>
      <c r="AA85">
        <f t="shared" si="28"/>
        <v>6.9266977507082498E-3</v>
      </c>
      <c r="AB85">
        <f t="shared" si="29"/>
        <v>9.1797821679157621E-2</v>
      </c>
      <c r="AC85">
        <f t="shared" si="30"/>
        <v>5.9673423323652816E-2</v>
      </c>
      <c r="AD85">
        <f t="shared" si="31"/>
        <v>9.3357770711510208E-3</v>
      </c>
      <c r="AE85">
        <f t="shared" si="32"/>
        <v>0.14525326887545029</v>
      </c>
      <c r="AF85">
        <f t="shared" si="33"/>
        <v>1.3127424117768072E-2</v>
      </c>
      <c r="AG85">
        <f t="shared" si="34"/>
        <v>-4.0382629355413875E-2</v>
      </c>
      <c r="AH85">
        <f t="shared" si="35"/>
        <v>-5.2134170496913289E-2</v>
      </c>
      <c r="AI85">
        <f t="shared" si="36"/>
        <v>1.0123759043465904E-2</v>
      </c>
      <c r="AJ85">
        <f t="shared" si="25"/>
        <v>-9.8544277107690086E-3</v>
      </c>
      <c r="AK85">
        <f t="shared" si="19"/>
        <v>1.0490717014352807E-2</v>
      </c>
      <c r="AL85">
        <f t="shared" si="20"/>
        <v>-4.5362392295995903E-2</v>
      </c>
      <c r="AM85">
        <f t="shared" si="21"/>
        <v>3.3489717223650378E-2</v>
      </c>
      <c r="AN85">
        <f t="shared" si="22"/>
        <v>2.0586919913784415E-2</v>
      </c>
    </row>
    <row r="86" spans="1:40">
      <c r="A86" s="37">
        <v>39083</v>
      </c>
      <c r="B86" s="1">
        <v>30.187175999999997</v>
      </c>
      <c r="C86" s="1">
        <v>35.911719999999995</v>
      </c>
      <c r="D86" s="1">
        <v>31.218903999999998</v>
      </c>
      <c r="E86" s="1">
        <v>369.87988300000001</v>
      </c>
      <c r="F86" s="1">
        <v>25.813016999999999</v>
      </c>
      <c r="G86" s="1">
        <v>22.662644999999998</v>
      </c>
      <c r="H86" s="1">
        <v>34.925255</v>
      </c>
      <c r="I86" s="1">
        <v>37.814776999999999</v>
      </c>
      <c r="J86" s="1">
        <v>35.513137999999998</v>
      </c>
      <c r="K86" s="1">
        <v>11.033524999999999</v>
      </c>
      <c r="L86" s="1">
        <v>43.553455</v>
      </c>
      <c r="M86" s="1">
        <v>18.698934999999999</v>
      </c>
      <c r="N86" s="1">
        <v>21.463744999999999</v>
      </c>
      <c r="O86" s="1">
        <v>14.052745</v>
      </c>
      <c r="P86" s="1">
        <v>2.5711329999999997</v>
      </c>
      <c r="Q86" s="1">
        <v>1.8835</v>
      </c>
      <c r="R86" s="1">
        <v>21.870296</v>
      </c>
      <c r="S86" s="1">
        <v>51.840682999999999</v>
      </c>
      <c r="V86" s="37">
        <v>39083</v>
      </c>
      <c r="W86">
        <f t="shared" si="23"/>
        <v>-7.2891879651146357E-3</v>
      </c>
      <c r="X86">
        <f t="shared" si="24"/>
        <v>-3.3282616371479681E-2</v>
      </c>
      <c r="Y86">
        <f t="shared" si="26"/>
        <v>-2.3362831699664997E-2</v>
      </c>
      <c r="Z86">
        <f t="shared" si="27"/>
        <v>-8.634097843055713E-2</v>
      </c>
      <c r="AA86">
        <f t="shared" si="28"/>
        <v>2.5686923771831943E-2</v>
      </c>
      <c r="AB86">
        <f t="shared" si="29"/>
        <v>7.6644584072159364E-2</v>
      </c>
      <c r="AC86">
        <f t="shared" si="30"/>
        <v>7.9876066760285511E-2</v>
      </c>
      <c r="AD86">
        <f t="shared" si="31"/>
        <v>-1.6583596407298666E-2</v>
      </c>
      <c r="AE86">
        <f t="shared" si="32"/>
        <v>-2.9514401121072495E-2</v>
      </c>
      <c r="AF86">
        <f t="shared" si="33"/>
        <v>-4.8780240222412945E-2</v>
      </c>
      <c r="AG86">
        <f t="shared" si="34"/>
        <v>-2.0766848462423965E-2</v>
      </c>
      <c r="AH86">
        <f t="shared" si="35"/>
        <v>7.1025702800721055E-2</v>
      </c>
      <c r="AI86">
        <f t="shared" si="36"/>
        <v>-2.6370328197618895E-2</v>
      </c>
      <c r="AJ86">
        <f t="shared" si="25"/>
        <v>1.4963482223579724E-2</v>
      </c>
      <c r="AK86">
        <f t="shared" si="19"/>
        <v>-1.3065057311309693E-2</v>
      </c>
      <c r="AL86">
        <f t="shared" si="20"/>
        <v>3.9023095301300714E-2</v>
      </c>
      <c r="AM86">
        <f t="shared" si="21"/>
        <v>-8.7167773129362316E-2</v>
      </c>
      <c r="AN86">
        <f t="shared" si="22"/>
        <v>-6.2632392401157269E-2</v>
      </c>
    </row>
    <row r="87" spans="1:40">
      <c r="A87" s="37">
        <v>39114</v>
      </c>
      <c r="B87" s="1">
        <v>29.967136</v>
      </c>
      <c r="C87" s="1">
        <v>34.716484000000001</v>
      </c>
      <c r="D87" s="1">
        <v>30.489542</v>
      </c>
      <c r="E87" s="1">
        <v>337.94409200000001</v>
      </c>
      <c r="F87" s="1">
        <v>26.476074000000001</v>
      </c>
      <c r="G87" s="1">
        <v>24.399614</v>
      </c>
      <c r="H87" s="1">
        <v>37.714946999999995</v>
      </c>
      <c r="I87" s="1">
        <v>37.187671999999999</v>
      </c>
      <c r="J87" s="1">
        <v>34.464988999999996</v>
      </c>
      <c r="K87" s="1">
        <v>10.495307</v>
      </c>
      <c r="L87" s="1">
        <v>42.648986999999998</v>
      </c>
      <c r="M87" s="1">
        <v>20.02704</v>
      </c>
      <c r="N87" s="1">
        <v>20.897738999999998</v>
      </c>
      <c r="O87" s="1">
        <v>14.263022999999999</v>
      </c>
      <c r="P87" s="1">
        <v>2.537541</v>
      </c>
      <c r="Q87" s="1">
        <v>1.9569999999999999</v>
      </c>
      <c r="R87" s="1">
        <v>19.963911</v>
      </c>
      <c r="S87" s="1">
        <v>48.593776999999996</v>
      </c>
      <c r="V87" s="37">
        <v>39114</v>
      </c>
      <c r="W87">
        <f t="shared" si="23"/>
        <v>-2.7664405434006206E-2</v>
      </c>
      <c r="X87">
        <f t="shared" si="24"/>
        <v>1.4925964276796991E-2</v>
      </c>
      <c r="Y87">
        <f t="shared" si="26"/>
        <v>-2.044940524196788E-2</v>
      </c>
      <c r="Z87">
        <f t="shared" si="27"/>
        <v>2.9339737651043158E-2</v>
      </c>
      <c r="AA87">
        <f t="shared" si="28"/>
        <v>1.6490360315496276E-4</v>
      </c>
      <c r="AB87">
        <f t="shared" si="29"/>
        <v>8.5068558871463241E-3</v>
      </c>
      <c r="AC87">
        <f t="shared" si="30"/>
        <v>3.2325115026677321E-3</v>
      </c>
      <c r="AD87">
        <f t="shared" si="31"/>
        <v>-5.1970986514026296E-3</v>
      </c>
      <c r="AE87">
        <f t="shared" si="32"/>
        <v>-3.7786171932333249E-3</v>
      </c>
      <c r="AF87">
        <f t="shared" si="33"/>
        <v>2.3077457381665771E-2</v>
      </c>
      <c r="AG87">
        <f t="shared" si="34"/>
        <v>-8.2641822184429184E-3</v>
      </c>
      <c r="AH87">
        <f t="shared" si="35"/>
        <v>-4.2791745560002967E-2</v>
      </c>
      <c r="AI87">
        <f t="shared" si="36"/>
        <v>-7.7808895976735661E-3</v>
      </c>
      <c r="AJ87">
        <f t="shared" si="25"/>
        <v>1.1046185650825973E-2</v>
      </c>
      <c r="AK87">
        <f t="shared" si="19"/>
        <v>9.8097331235239144E-2</v>
      </c>
      <c r="AL87">
        <f t="shared" si="20"/>
        <v>1.660705160960653E-2</v>
      </c>
      <c r="AM87">
        <f t="shared" si="21"/>
        <v>-7.2194771856075451E-3</v>
      </c>
      <c r="AN87">
        <f t="shared" si="22"/>
        <v>1.725939105330309E-2</v>
      </c>
    </row>
    <row r="88" spans="1:40">
      <c r="A88" s="37">
        <v>39142</v>
      </c>
      <c r="B88" s="1">
        <v>29.138112999999997</v>
      </c>
      <c r="C88" s="1">
        <v>35.234660999999996</v>
      </c>
      <c r="D88" s="1">
        <v>29.866049</v>
      </c>
      <c r="E88" s="1">
        <v>347.859283</v>
      </c>
      <c r="F88" s="1">
        <v>26.480439999999998</v>
      </c>
      <c r="G88" s="1">
        <v>24.607177999999998</v>
      </c>
      <c r="H88" s="1">
        <v>37.836860999999999</v>
      </c>
      <c r="I88" s="1">
        <v>36.994403999999996</v>
      </c>
      <c r="J88" s="1">
        <v>34.334758999999998</v>
      </c>
      <c r="K88" s="1">
        <v>10.737511999999999</v>
      </c>
      <c r="L88" s="1">
        <v>42.296527999999995</v>
      </c>
      <c r="M88" s="1">
        <v>19.170047999999998</v>
      </c>
      <c r="N88" s="1">
        <v>20.735136000000001</v>
      </c>
      <c r="O88" s="1">
        <v>14.420574999999999</v>
      </c>
      <c r="P88" s="1">
        <v>2.786467</v>
      </c>
      <c r="Q88" s="1">
        <v>1.9894999999999998</v>
      </c>
      <c r="R88" s="1">
        <v>19.819782</v>
      </c>
      <c r="S88" s="1">
        <v>49.432476000000001</v>
      </c>
      <c r="V88" s="37">
        <v>39142</v>
      </c>
      <c r="W88">
        <f t="shared" si="23"/>
        <v>4.8704869804026184E-2</v>
      </c>
      <c r="X88">
        <f t="shared" si="24"/>
        <v>-2.3514061906257031E-3</v>
      </c>
      <c r="Y88">
        <f t="shared" si="26"/>
        <v>7.6891523214202173E-2</v>
      </c>
      <c r="Z88">
        <f t="shared" si="27"/>
        <v>4.4409897205474329E-2</v>
      </c>
      <c r="AA88">
        <f t="shared" si="28"/>
        <v>3.4664907380693076E-2</v>
      </c>
      <c r="AB88">
        <f t="shared" si="29"/>
        <v>-2.2306377431820922E-2</v>
      </c>
      <c r="AC88">
        <f t="shared" si="30"/>
        <v>1.1090639892141147E-2</v>
      </c>
      <c r="AD88">
        <f t="shared" si="31"/>
        <v>1.9632672011691405E-2</v>
      </c>
      <c r="AE88">
        <f t="shared" si="32"/>
        <v>5.8584421693479806E-2</v>
      </c>
      <c r="AF88">
        <f t="shared" si="33"/>
        <v>4.7505511518869642E-2</v>
      </c>
      <c r="AG88">
        <f t="shared" si="34"/>
        <v>7.5709192962599828E-2</v>
      </c>
      <c r="AH88">
        <f t="shared" si="35"/>
        <v>-4.6786007004259939E-3</v>
      </c>
      <c r="AI88">
        <f t="shared" si="36"/>
        <v>4.2404785770394617E-2</v>
      </c>
      <c r="AJ88">
        <f t="shared" si="25"/>
        <v>1.1753068098879493E-2</v>
      </c>
      <c r="AK88">
        <f t="shared" si="19"/>
        <v>7.4158064674729685E-2</v>
      </c>
      <c r="AL88">
        <f t="shared" si="20"/>
        <v>0.54134204574013589</v>
      </c>
      <c r="AM88">
        <f t="shared" si="21"/>
        <v>7.4273369908912229E-2</v>
      </c>
      <c r="AN88">
        <f t="shared" si="22"/>
        <v>8.4340950269211665E-2</v>
      </c>
    </row>
    <row r="89" spans="1:40">
      <c r="A89" s="37">
        <v>39173</v>
      </c>
      <c r="B89" s="1">
        <v>30.557281</v>
      </c>
      <c r="C89" s="1">
        <v>35.151809999999998</v>
      </c>
      <c r="D89" s="1">
        <v>32.162495</v>
      </c>
      <c r="E89" s="1">
        <v>363.30767800000001</v>
      </c>
      <c r="F89" s="1">
        <v>27.398381999999998</v>
      </c>
      <c r="G89" s="1">
        <v>24.058280999999997</v>
      </c>
      <c r="H89" s="1">
        <v>38.256495999999999</v>
      </c>
      <c r="I89" s="1">
        <v>37.720703</v>
      </c>
      <c r="J89" s="1">
        <v>36.346240999999999</v>
      </c>
      <c r="K89" s="1">
        <v>11.247603</v>
      </c>
      <c r="L89" s="1">
        <v>45.498764000000001</v>
      </c>
      <c r="M89" s="1">
        <v>19.080358999999998</v>
      </c>
      <c r="N89" s="1">
        <v>21.614404999999998</v>
      </c>
      <c r="O89" s="1">
        <v>14.590060999999999</v>
      </c>
      <c r="P89" s="1">
        <v>2.993106</v>
      </c>
      <c r="Q89" s="1">
        <v>3.0665</v>
      </c>
      <c r="R89" s="1">
        <v>21.291864</v>
      </c>
      <c r="S89" s="1">
        <v>53.601658</v>
      </c>
      <c r="V89" s="37">
        <v>39173</v>
      </c>
      <c r="W89">
        <f t="shared" si="23"/>
        <v>-1.3956150090709994E-2</v>
      </c>
      <c r="X89">
        <f t="shared" si="24"/>
        <v>-3.7332359272538793E-3</v>
      </c>
      <c r="Y89">
        <f t="shared" si="26"/>
        <v>1.8788343379455388E-3</v>
      </c>
      <c r="Z89">
        <f t="shared" si="27"/>
        <v>1.6224878682580351E-2</v>
      </c>
      <c r="AA89">
        <f t="shared" si="28"/>
        <v>6.4295037568276925E-2</v>
      </c>
      <c r="AB89">
        <f t="shared" si="29"/>
        <v>-9.0846848118533469E-2</v>
      </c>
      <c r="AC89">
        <f t="shared" si="30"/>
        <v>0.10118869746983622</v>
      </c>
      <c r="AD89">
        <f t="shared" si="31"/>
        <v>-7.7492988399501207E-3</v>
      </c>
      <c r="AE89">
        <f t="shared" si="32"/>
        <v>8.4934752950105524E-2</v>
      </c>
      <c r="AF89">
        <f t="shared" si="33"/>
        <v>3.8926960704427402E-2</v>
      </c>
      <c r="AG89">
        <f t="shared" si="34"/>
        <v>7.3923634496972229E-2</v>
      </c>
      <c r="AH89">
        <f t="shared" si="35"/>
        <v>7.3076717267217053E-2</v>
      </c>
      <c r="AI89">
        <f t="shared" si="36"/>
        <v>5.572533687603346E-3</v>
      </c>
      <c r="AJ89">
        <f t="shared" si="25"/>
        <v>0.13885116724323515</v>
      </c>
      <c r="AK89">
        <f t="shared" si="19"/>
        <v>0.21432852695494245</v>
      </c>
      <c r="AL89">
        <f t="shared" si="20"/>
        <v>0.12734387738464042</v>
      </c>
      <c r="AM89">
        <f t="shared" si="21"/>
        <v>2.5050319690187735E-2</v>
      </c>
      <c r="AN89">
        <f t="shared" si="22"/>
        <v>4.2950947524794843E-2</v>
      </c>
    </row>
    <row r="90" spans="1:40">
      <c r="A90" s="37">
        <v>39203</v>
      </c>
      <c r="B90" s="1">
        <v>30.130818999999999</v>
      </c>
      <c r="C90" s="1">
        <v>35.020579999999995</v>
      </c>
      <c r="D90" s="1">
        <v>32.222923000000002</v>
      </c>
      <c r="E90" s="1">
        <v>369.20230099999998</v>
      </c>
      <c r="F90" s="1">
        <v>29.159962</v>
      </c>
      <c r="G90" s="1">
        <v>21.872661999999998</v>
      </c>
      <c r="H90" s="1">
        <v>42.127620999999998</v>
      </c>
      <c r="I90" s="1">
        <v>37.428393999999997</v>
      </c>
      <c r="J90" s="1">
        <v>39.433299999999996</v>
      </c>
      <c r="K90" s="1">
        <v>11.685438</v>
      </c>
      <c r="L90" s="1">
        <v>48.862197999999999</v>
      </c>
      <c r="M90" s="1">
        <v>20.474688999999998</v>
      </c>
      <c r="N90" s="1">
        <v>21.734852</v>
      </c>
      <c r="O90" s="1">
        <v>16.615908000000001</v>
      </c>
      <c r="P90" s="1">
        <v>3.634614</v>
      </c>
      <c r="Q90" s="1">
        <v>3.4569999999999999</v>
      </c>
      <c r="R90" s="1">
        <v>21.825232</v>
      </c>
      <c r="S90" s="1">
        <v>55.9039</v>
      </c>
      <c r="V90" s="37">
        <v>39203</v>
      </c>
      <c r="W90">
        <f t="shared" si="23"/>
        <v>-2.5161114936835927E-2</v>
      </c>
      <c r="X90">
        <f t="shared" si="24"/>
        <v>-2.522625267771117E-2</v>
      </c>
      <c r="Y90">
        <f t="shared" si="26"/>
        <v>-6.5212954144476656E-2</v>
      </c>
      <c r="Z90">
        <f t="shared" si="27"/>
        <v>-4.9271364102359709E-2</v>
      </c>
      <c r="AA90">
        <f t="shared" si="28"/>
        <v>-2.5869923973151989E-2</v>
      </c>
      <c r="AB90">
        <f t="shared" si="29"/>
        <v>-3.7569729738428479E-3</v>
      </c>
      <c r="AC90">
        <f t="shared" si="30"/>
        <v>2.2413086179254456E-3</v>
      </c>
      <c r="AD90">
        <f t="shared" si="31"/>
        <v>-3.7136324898150816E-2</v>
      </c>
      <c r="AE90">
        <f t="shared" si="32"/>
        <v>-4.001275571661516E-2</v>
      </c>
      <c r="AF90">
        <f t="shared" si="33"/>
        <v>-5.9875119785839419E-2</v>
      </c>
      <c r="AG90">
        <f t="shared" si="34"/>
        <v>-5.847935862402262E-2</v>
      </c>
      <c r="AH90">
        <f t="shared" si="35"/>
        <v>2.0767006522052753E-2</v>
      </c>
      <c r="AI90">
        <f t="shared" si="36"/>
        <v>-1.7861175222173165E-2</v>
      </c>
      <c r="AJ90">
        <f t="shared" si="25"/>
        <v>-8.5411522500005079E-3</v>
      </c>
      <c r="AK90">
        <f t="shared" si="19"/>
        <v>7.013949761927948E-3</v>
      </c>
      <c r="AL90">
        <f t="shared" si="20"/>
        <v>-1.0558287532542725E-2</v>
      </c>
      <c r="AM90">
        <f t="shared" si="21"/>
        <v>-3.6641855628384665E-2</v>
      </c>
      <c r="AN90">
        <f t="shared" si="22"/>
        <v>-8.8210840388595474E-3</v>
      </c>
    </row>
    <row r="91" spans="1:40">
      <c r="A91" s="37">
        <v>39234</v>
      </c>
      <c r="B91" s="1">
        <v>29.372693999999999</v>
      </c>
      <c r="C91" s="1">
        <v>34.137141999999997</v>
      </c>
      <c r="D91" s="1">
        <v>30.121570999999999</v>
      </c>
      <c r="E91" s="1">
        <v>351.01119999999997</v>
      </c>
      <c r="F91" s="1">
        <v>28.405595999999999</v>
      </c>
      <c r="G91" s="1">
        <v>21.790486999999999</v>
      </c>
      <c r="H91" s="1">
        <v>42.222041999999995</v>
      </c>
      <c r="I91" s="1">
        <v>36.038440999999999</v>
      </c>
      <c r="J91" s="1">
        <v>37.855464999999995</v>
      </c>
      <c r="K91" s="1">
        <v>10.985771</v>
      </c>
      <c r="L91" s="1">
        <v>46.004767999999999</v>
      </c>
      <c r="M91" s="1">
        <v>20.899887</v>
      </c>
      <c r="N91" s="1">
        <v>21.346641999999999</v>
      </c>
      <c r="O91" s="1">
        <v>16.473989</v>
      </c>
      <c r="P91" s="1">
        <v>3.660107</v>
      </c>
      <c r="Q91" s="1">
        <v>3.4204999999999997</v>
      </c>
      <c r="R91" s="1">
        <v>21.025514999999999</v>
      </c>
      <c r="S91" s="1">
        <v>55.410767</v>
      </c>
      <c r="V91" s="37">
        <v>39234</v>
      </c>
      <c r="W91">
        <f t="shared" si="23"/>
        <v>3.5844175546172596E-3</v>
      </c>
      <c r="X91">
        <f t="shared" si="24"/>
        <v>-3.0068012137629944E-2</v>
      </c>
      <c r="Y91">
        <f t="shared" si="26"/>
        <v>-9.1641103314299324E-2</v>
      </c>
      <c r="Z91">
        <f t="shared" si="27"/>
        <v>-9.2025821398291602E-2</v>
      </c>
      <c r="AA91">
        <f t="shared" si="28"/>
        <v>-2.8593732023788624E-2</v>
      </c>
      <c r="AB91">
        <f t="shared" si="29"/>
        <v>-9.0222581991857204E-2</v>
      </c>
      <c r="AC91">
        <f t="shared" si="30"/>
        <v>1.0026042795372573E-3</v>
      </c>
      <c r="AD91">
        <f t="shared" si="31"/>
        <v>1.0949197275209628E-2</v>
      </c>
      <c r="AE91">
        <f t="shared" si="32"/>
        <v>-8.4115278996044457E-2</v>
      </c>
      <c r="AF91">
        <f t="shared" si="33"/>
        <v>-8.0563303203753267E-2</v>
      </c>
      <c r="AG91">
        <f t="shared" si="34"/>
        <v>-4.3151440302883357E-2</v>
      </c>
      <c r="AH91">
        <f t="shared" si="35"/>
        <v>-9.9999918659847337E-2</v>
      </c>
      <c r="AI91">
        <f t="shared" si="36"/>
        <v>-3.9807057241134258E-2</v>
      </c>
      <c r="AJ91">
        <f t="shared" si="25"/>
        <v>-6.3805068705581863E-2</v>
      </c>
      <c r="AK91">
        <f t="shared" si="19"/>
        <v>7.9645758990106022E-2</v>
      </c>
      <c r="AL91">
        <f t="shared" si="20"/>
        <v>0.14807776640841983</v>
      </c>
      <c r="AM91">
        <f t="shared" si="21"/>
        <v>-1.6287686651194969E-2</v>
      </c>
      <c r="AN91">
        <f t="shared" si="22"/>
        <v>5.1306093633390712E-2</v>
      </c>
    </row>
    <row r="92" spans="1:40">
      <c r="A92" s="37">
        <v>39264</v>
      </c>
      <c r="B92" s="1">
        <v>29.477978</v>
      </c>
      <c r="C92" s="1">
        <v>33.110706</v>
      </c>
      <c r="D92" s="1">
        <v>27.361196999999997</v>
      </c>
      <c r="E92" s="1">
        <v>318.70910599999996</v>
      </c>
      <c r="F92" s="1">
        <v>27.593373999999997</v>
      </c>
      <c r="G92" s="1">
        <v>19.824493</v>
      </c>
      <c r="H92" s="1">
        <v>42.264373999999997</v>
      </c>
      <c r="I92" s="1">
        <v>36.433033000000002</v>
      </c>
      <c r="J92" s="1">
        <v>34.671241999999999</v>
      </c>
      <c r="K92" s="1">
        <v>10.100721</v>
      </c>
      <c r="L92" s="1">
        <v>44.019596</v>
      </c>
      <c r="M92" s="1">
        <v>18.809899999999999</v>
      </c>
      <c r="N92" s="1">
        <v>20.496894999999999</v>
      </c>
      <c r="O92" s="1">
        <v>15.422865</v>
      </c>
      <c r="P92" s="1">
        <v>3.951619</v>
      </c>
      <c r="Q92" s="1">
        <v>3.9269999999999996</v>
      </c>
      <c r="R92" s="1">
        <v>20.683057999999999</v>
      </c>
      <c r="S92" s="1">
        <v>58.253676999999996</v>
      </c>
      <c r="V92" s="37">
        <v>39264</v>
      </c>
      <c r="W92">
        <f t="shared" si="23"/>
        <v>-0.11412757007960322</v>
      </c>
      <c r="X92">
        <f t="shared" si="24"/>
        <v>6.8747431721932956E-2</v>
      </c>
      <c r="Y92">
        <f t="shared" si="26"/>
        <v>1.9469689136772862E-2</v>
      </c>
      <c r="Z92">
        <f t="shared" si="27"/>
        <v>6.656606165498233E-3</v>
      </c>
      <c r="AA92">
        <f t="shared" si="28"/>
        <v>-1.4557299154499808E-2</v>
      </c>
      <c r="AB92">
        <f t="shared" si="29"/>
        <v>-0.12059879665018429</v>
      </c>
      <c r="AC92">
        <f t="shared" si="30"/>
        <v>0.1298788904338202</v>
      </c>
      <c r="AD92">
        <f t="shared" si="31"/>
        <v>6.1699666892953801E-2</v>
      </c>
      <c r="AE92">
        <f t="shared" si="32"/>
        <v>2.5483280927749773E-2</v>
      </c>
      <c r="AF92">
        <f t="shared" si="33"/>
        <v>5.6571407130243348E-2</v>
      </c>
      <c r="AG92">
        <f t="shared" si="34"/>
        <v>3.8031244085020405E-3</v>
      </c>
      <c r="AH92">
        <f t="shared" si="35"/>
        <v>-3.8495260474537288E-2</v>
      </c>
      <c r="AI92">
        <f t="shared" si="36"/>
        <v>8.2025594608354166E-2</v>
      </c>
      <c r="AJ92">
        <f t="shared" si="25"/>
        <v>7.3731048025123799E-2</v>
      </c>
      <c r="AK92">
        <f t="shared" si="19"/>
        <v>5.1001880495057751E-2</v>
      </c>
      <c r="AL92">
        <f t="shared" si="20"/>
        <v>1.7443340972752797E-2</v>
      </c>
      <c r="AM92">
        <f t="shared" si="21"/>
        <v>-8.9684030282175149E-3</v>
      </c>
      <c r="AN92">
        <f t="shared" si="22"/>
        <v>5.4586871829567146E-2</v>
      </c>
    </row>
    <row r="93" spans="1:40">
      <c r="A93" s="37">
        <v>39295</v>
      </c>
      <c r="B93" s="1">
        <v>26.113727999999998</v>
      </c>
      <c r="C93" s="1">
        <v>35.386981999999996</v>
      </c>
      <c r="D93" s="1">
        <v>27.893910999999999</v>
      </c>
      <c r="E93" s="1">
        <v>320.83062699999999</v>
      </c>
      <c r="F93" s="1">
        <v>27.191689</v>
      </c>
      <c r="G93" s="1">
        <v>17.433682999999998</v>
      </c>
      <c r="H93" s="1">
        <v>47.753623999999995</v>
      </c>
      <c r="I93" s="1">
        <v>38.680938999999995</v>
      </c>
      <c r="J93" s="1">
        <v>35.554778999999996</v>
      </c>
      <c r="K93" s="1">
        <v>10.672132999999999</v>
      </c>
      <c r="L93" s="1">
        <v>44.187007999999999</v>
      </c>
      <c r="M93" s="1">
        <v>18.085808</v>
      </c>
      <c r="N93" s="1">
        <v>22.178165</v>
      </c>
      <c r="O93" s="1">
        <v>16.560009000000001</v>
      </c>
      <c r="P93" s="1">
        <v>4.1531589999999996</v>
      </c>
      <c r="Q93" s="1">
        <v>3.9954999999999998</v>
      </c>
      <c r="R93" s="1">
        <v>20.497564000000001</v>
      </c>
      <c r="S93" s="1">
        <v>61.433562999999999</v>
      </c>
      <c r="V93" s="37">
        <v>39295</v>
      </c>
      <c r="W93">
        <f t="shared" si="23"/>
        <v>-1.3729560176164611E-3</v>
      </c>
      <c r="X93">
        <f t="shared" si="24"/>
        <v>-8.0899241421604085E-3</v>
      </c>
      <c r="Y93">
        <f t="shared" si="26"/>
        <v>2.9201211690967264E-2</v>
      </c>
      <c r="Z93">
        <f t="shared" si="27"/>
        <v>7.1285245470033252E-3</v>
      </c>
      <c r="AA93">
        <f t="shared" si="28"/>
        <v>7.3982642269849325E-2</v>
      </c>
      <c r="AB93">
        <f t="shared" si="29"/>
        <v>1.8915681786803164E-2</v>
      </c>
      <c r="AC93">
        <f t="shared" si="30"/>
        <v>9.0842089806629181E-2</v>
      </c>
      <c r="AD93">
        <f t="shared" si="31"/>
        <v>7.7017442622062685E-2</v>
      </c>
      <c r="AE93">
        <f t="shared" si="32"/>
        <v>-1.0750847305224428E-2</v>
      </c>
      <c r="AF93">
        <f t="shared" si="33"/>
        <v>-4.6507104062515001E-3</v>
      </c>
      <c r="AG93">
        <f t="shared" si="34"/>
        <v>1.2794394225560557E-2</v>
      </c>
      <c r="AH93">
        <f t="shared" si="35"/>
        <v>-9.137949490561896E-2</v>
      </c>
      <c r="AI93">
        <f t="shared" si="36"/>
        <v>-1.6438916384651378E-2</v>
      </c>
      <c r="AJ93">
        <f t="shared" si="25"/>
        <v>0.12187245791955782</v>
      </c>
      <c r="AK93">
        <f t="shared" si="19"/>
        <v>0.10824699945270579</v>
      </c>
      <c r="AL93">
        <f t="shared" si="20"/>
        <v>0.16568639719684644</v>
      </c>
      <c r="AM93">
        <f t="shared" si="21"/>
        <v>2.9002958595470019E-2</v>
      </c>
      <c r="AN93">
        <f t="shared" si="22"/>
        <v>1.3081611431197593E-2</v>
      </c>
    </row>
    <row r="94" spans="1:40">
      <c r="A94" s="37">
        <v>39326</v>
      </c>
      <c r="B94" s="1">
        <v>26.077874999999999</v>
      </c>
      <c r="C94" s="1">
        <v>35.100704</v>
      </c>
      <c r="D94" s="1">
        <v>28.708447</v>
      </c>
      <c r="E94" s="1">
        <v>323.11767599999996</v>
      </c>
      <c r="F94" s="1">
        <v>29.203401999999997</v>
      </c>
      <c r="G94" s="1">
        <v>17.763452999999998</v>
      </c>
      <c r="H94" s="1">
        <v>52.091662999999997</v>
      </c>
      <c r="I94" s="1">
        <v>41.660046000000001</v>
      </c>
      <c r="J94" s="1">
        <v>35.172534999999996</v>
      </c>
      <c r="K94" s="1">
        <v>10.622499999999999</v>
      </c>
      <c r="L94" s="1">
        <v>44.752353999999997</v>
      </c>
      <c r="M94" s="1">
        <v>16.433135999999998</v>
      </c>
      <c r="N94" s="1">
        <v>21.813579999999998</v>
      </c>
      <c r="O94" s="1">
        <v>18.578218</v>
      </c>
      <c r="P94" s="1">
        <v>4.6027259999999997</v>
      </c>
      <c r="Q94" s="1">
        <v>4.6574999999999998</v>
      </c>
      <c r="R94" s="1">
        <v>21.092053999999997</v>
      </c>
      <c r="S94" s="1">
        <v>62.237212999999997</v>
      </c>
      <c r="V94" s="37">
        <v>39326</v>
      </c>
      <c r="W94">
        <f t="shared" si="23"/>
        <v>4.5866198837136891E-2</v>
      </c>
      <c r="X94">
        <f t="shared" si="24"/>
        <v>-2.7399735344339593E-2</v>
      </c>
      <c r="Y94">
        <f t="shared" si="26"/>
        <v>2.5752176702557198E-2</v>
      </c>
      <c r="Z94">
        <f t="shared" si="27"/>
        <v>-0.10220713830585976</v>
      </c>
      <c r="AA94">
        <f t="shared" si="28"/>
        <v>1.6798898977591823E-2</v>
      </c>
      <c r="AB94">
        <f t="shared" si="29"/>
        <v>-4.6011324487417399E-3</v>
      </c>
      <c r="AC94">
        <f t="shared" si="30"/>
        <v>4.7343660347338189E-2</v>
      </c>
      <c r="AD94">
        <f t="shared" si="31"/>
        <v>-1.1658076421711227E-2</v>
      </c>
      <c r="AE94">
        <f t="shared" si="32"/>
        <v>3.0916992477226915E-2</v>
      </c>
      <c r="AF94">
        <f t="shared" si="33"/>
        <v>7.3675688397270419E-3</v>
      </c>
      <c r="AG94">
        <f t="shared" si="34"/>
        <v>2.6612812367367365E-2</v>
      </c>
      <c r="AH94">
        <f t="shared" si="35"/>
        <v>-1.0121500850476748E-2</v>
      </c>
      <c r="AI94">
        <f t="shared" si="36"/>
        <v>-4.5199320790076533E-2</v>
      </c>
      <c r="AJ94">
        <f t="shared" si="25"/>
        <v>-1.6692612822177037E-2</v>
      </c>
      <c r="AK94">
        <f t="shared" si="19"/>
        <v>0.2377010927871874</v>
      </c>
      <c r="AL94">
        <f t="shared" si="20"/>
        <v>-4.2941492216854574E-2</v>
      </c>
      <c r="AM94">
        <f t="shared" si="21"/>
        <v>0.24949073238670846</v>
      </c>
      <c r="AN94">
        <f t="shared" si="22"/>
        <v>-1.4261258774553373E-2</v>
      </c>
    </row>
    <row r="95" spans="1:40">
      <c r="A95" s="37">
        <v>39356</v>
      </c>
      <c r="B95" s="1">
        <v>27.273968</v>
      </c>
      <c r="C95" s="1">
        <v>34.138953999999998</v>
      </c>
      <c r="D95" s="1">
        <v>29.447751999999998</v>
      </c>
      <c r="E95" s="1">
        <v>290.09274299999998</v>
      </c>
      <c r="F95" s="1">
        <v>29.693987</v>
      </c>
      <c r="G95" s="1">
        <v>17.681721</v>
      </c>
      <c r="H95" s="1">
        <v>54.557873000000001</v>
      </c>
      <c r="I95" s="1">
        <v>41.174369999999996</v>
      </c>
      <c r="J95" s="1">
        <v>36.259963999999997</v>
      </c>
      <c r="K95" s="1">
        <v>10.700761999999999</v>
      </c>
      <c r="L95" s="1">
        <v>45.943339999999999</v>
      </c>
      <c r="M95" s="1">
        <v>16.266807999999997</v>
      </c>
      <c r="N95" s="1">
        <v>20.827621000000001</v>
      </c>
      <c r="O95" s="1">
        <v>18.268098999999999</v>
      </c>
      <c r="P95" s="1">
        <v>5.6967989999999995</v>
      </c>
      <c r="Q95" s="1">
        <v>4.4574999999999996</v>
      </c>
      <c r="R95" s="1">
        <v>26.354326</v>
      </c>
      <c r="S95" s="1">
        <v>61.349632</v>
      </c>
      <c r="V95" s="37">
        <v>39356</v>
      </c>
      <c r="W95">
        <f t="shared" si="23"/>
        <v>-8.8299142977655454E-2</v>
      </c>
      <c r="X95">
        <f t="shared" si="24"/>
        <v>-4.4532207987391742E-2</v>
      </c>
      <c r="Y95">
        <f t="shared" si="26"/>
        <v>-2.1476579944031026E-2</v>
      </c>
      <c r="Z95">
        <f t="shared" si="27"/>
        <v>-0.20524994311905279</v>
      </c>
      <c r="AA95">
        <f t="shared" si="28"/>
        <v>-4.1746263309134002E-2</v>
      </c>
      <c r="AB95">
        <f t="shared" si="29"/>
        <v>-7.4305153893108156E-2</v>
      </c>
      <c r="AC95">
        <f t="shared" si="30"/>
        <v>0.10910229216597202</v>
      </c>
      <c r="AD95">
        <f t="shared" si="31"/>
        <v>6.9729372908437934E-2</v>
      </c>
      <c r="AE95">
        <f t="shared" si="32"/>
        <v>-9.3831450025708737E-2</v>
      </c>
      <c r="AF95">
        <f t="shared" si="33"/>
        <v>-3.4538661826139162E-2</v>
      </c>
      <c r="AG95">
        <f t="shared" si="34"/>
        <v>-2.9921028815057937E-2</v>
      </c>
      <c r="AH95">
        <f t="shared" si="35"/>
        <v>-0.15644169403118297</v>
      </c>
      <c r="AI95">
        <f t="shared" si="36"/>
        <v>-4.645686610103001E-2</v>
      </c>
      <c r="AJ95">
        <f t="shared" si="25"/>
        <v>1.3969707521299519E-4</v>
      </c>
      <c r="AK95">
        <f t="shared" si="19"/>
        <v>-4.0695309769574105E-2</v>
      </c>
      <c r="AL95">
        <f t="shared" si="20"/>
        <v>1.5816040381379699E-2</v>
      </c>
      <c r="AM95">
        <f t="shared" si="21"/>
        <v>-8.7204582655614191E-2</v>
      </c>
      <c r="AN95">
        <f t="shared" si="22"/>
        <v>-9.4213197562456524E-2</v>
      </c>
    </row>
    <row r="96" spans="1:40">
      <c r="A96" s="37">
        <v>39387</v>
      </c>
      <c r="B96" s="1">
        <v>24.8657</v>
      </c>
      <c r="C96" s="1">
        <v>32.618670999999999</v>
      </c>
      <c r="D96" s="1">
        <v>28.815314999999998</v>
      </c>
      <c r="E96" s="1">
        <v>230.55122399999999</v>
      </c>
      <c r="F96" s="1">
        <v>28.454373999999998</v>
      </c>
      <c r="G96" s="1">
        <v>16.367877999999997</v>
      </c>
      <c r="H96" s="1">
        <v>60.510261999999997</v>
      </c>
      <c r="I96" s="1">
        <v>44.045432999999996</v>
      </c>
      <c r="J96" s="1">
        <v>32.857638999999999</v>
      </c>
      <c r="K96" s="1">
        <v>10.331171999999999</v>
      </c>
      <c r="L96" s="1">
        <v>44.568667999999995</v>
      </c>
      <c r="M96" s="1">
        <v>13.722000999999999</v>
      </c>
      <c r="N96" s="1">
        <v>19.860035</v>
      </c>
      <c r="O96" s="1">
        <v>18.270651000000001</v>
      </c>
      <c r="P96" s="1">
        <v>5.4649659999999995</v>
      </c>
      <c r="Q96" s="1">
        <v>4.5279999999999996</v>
      </c>
      <c r="R96" s="1">
        <v>24.056107999999998</v>
      </c>
      <c r="S96" s="1">
        <v>55.569686999999995</v>
      </c>
      <c r="V96" s="37">
        <v>39387</v>
      </c>
      <c r="W96">
        <f t="shared" si="23"/>
        <v>-0.12920629622331176</v>
      </c>
      <c r="X96">
        <f t="shared" si="24"/>
        <v>-0.10557100870234719</v>
      </c>
      <c r="Y96">
        <f t="shared" si="26"/>
        <v>-4.3182904646366024E-2</v>
      </c>
      <c r="Z96">
        <f t="shared" si="27"/>
        <v>-0.10437360332556719</v>
      </c>
      <c r="AA96">
        <f t="shared" si="28"/>
        <v>-0.10286917575484171</v>
      </c>
      <c r="AB96">
        <f t="shared" si="29"/>
        <v>-0.1274875093765972</v>
      </c>
      <c r="AC96">
        <f t="shared" si="30"/>
        <v>8.4050949903340291E-2</v>
      </c>
      <c r="AD96">
        <f t="shared" si="31"/>
        <v>-7.8383154957291246E-3</v>
      </c>
      <c r="AE96">
        <f t="shared" si="32"/>
        <v>-7.0373833007295536E-2</v>
      </c>
      <c r="AF96">
        <f t="shared" si="33"/>
        <v>-3.1614612553154627E-2</v>
      </c>
      <c r="AG96">
        <f t="shared" si="34"/>
        <v>-0.11800621907749186</v>
      </c>
      <c r="AH96">
        <f t="shared" si="35"/>
        <v>7.7251706948571142E-2</v>
      </c>
      <c r="AI96">
        <f t="shared" si="36"/>
        <v>-6.0230407448929456E-2</v>
      </c>
      <c r="AJ96">
        <f t="shared" si="25"/>
        <v>-6.5464005633953729E-2</v>
      </c>
      <c r="AK96">
        <f t="shared" si="19"/>
        <v>8.7038052935736548E-2</v>
      </c>
      <c r="AL96">
        <f t="shared" si="20"/>
        <v>2.2968197879858678E-2</v>
      </c>
      <c r="AM96">
        <f t="shared" si="21"/>
        <v>6.3026778895405741E-2</v>
      </c>
      <c r="AN96">
        <f t="shared" si="22"/>
        <v>3.1407752935516842E-2</v>
      </c>
    </row>
    <row r="97" spans="1:40">
      <c r="A97" s="37">
        <v>39417</v>
      </c>
      <c r="B97" s="1">
        <v>21.652894999999997</v>
      </c>
      <c r="C97" s="1">
        <v>29.175084999999999</v>
      </c>
      <c r="D97" s="1">
        <v>27.570985999999998</v>
      </c>
      <c r="E97" s="1">
        <v>206.487762</v>
      </c>
      <c r="F97" s="1">
        <v>25.527296</v>
      </c>
      <c r="G97" s="1">
        <v>14.281177999999999</v>
      </c>
      <c r="H97" s="1">
        <v>65.596206999999993</v>
      </c>
      <c r="I97" s="1">
        <v>43.700190999999997</v>
      </c>
      <c r="J97" s="1">
        <v>30.545320999999998</v>
      </c>
      <c r="K97" s="1">
        <v>10.004555999999999</v>
      </c>
      <c r="L97" s="1">
        <v>39.309287999999995</v>
      </c>
      <c r="M97" s="1">
        <v>14.782048999999999</v>
      </c>
      <c r="N97" s="1">
        <v>18.663857</v>
      </c>
      <c r="O97" s="1">
        <v>17.074580999999998</v>
      </c>
      <c r="P97" s="1">
        <v>5.940626</v>
      </c>
      <c r="Q97" s="1">
        <v>4.6319999999999997</v>
      </c>
      <c r="R97" s="1">
        <v>25.572286999999999</v>
      </c>
      <c r="S97" s="1">
        <v>57.315005999999997</v>
      </c>
      <c r="V97" s="37">
        <v>39417</v>
      </c>
      <c r="W97">
        <f t="shared" si="23"/>
        <v>-6.4404182443040525E-2</v>
      </c>
      <c r="X97">
        <f t="shared" si="24"/>
        <v>8.5582989732506276E-2</v>
      </c>
      <c r="Y97">
        <f t="shared" si="26"/>
        <v>8.5911254679103613E-2</v>
      </c>
      <c r="Z97">
        <f t="shared" si="27"/>
        <v>-4.3138377372698836E-2</v>
      </c>
      <c r="AA97">
        <f t="shared" si="28"/>
        <v>-2.4739008784950165E-3</v>
      </c>
      <c r="AB97">
        <f t="shared" si="29"/>
        <v>7.2438702185492046E-2</v>
      </c>
      <c r="AC97">
        <f t="shared" si="30"/>
        <v>-5.7164341834581876E-2</v>
      </c>
      <c r="AD97">
        <f t="shared" si="31"/>
        <v>-0.10896220110342306</v>
      </c>
      <c r="AE97">
        <f t="shared" si="32"/>
        <v>6.5942603778824341E-2</v>
      </c>
      <c r="AF97">
        <f t="shared" si="33"/>
        <v>2.7716672284107388E-2</v>
      </c>
      <c r="AG97">
        <f t="shared" si="34"/>
        <v>-5.5555648832917033E-2</v>
      </c>
      <c r="AH97">
        <f t="shared" si="35"/>
        <v>-4.5065470964140333E-2</v>
      </c>
      <c r="AI97">
        <f t="shared" si="36"/>
        <v>0.12885069790236806</v>
      </c>
      <c r="AJ97">
        <f t="shared" si="25"/>
        <v>-3.2166118746925494E-2</v>
      </c>
      <c r="AK97">
        <f t="shared" si="19"/>
        <v>-0.31663952586814925</v>
      </c>
      <c r="AL97">
        <f t="shared" si="20"/>
        <v>-0.16126943005181346</v>
      </c>
      <c r="AM97">
        <f t="shared" si="21"/>
        <v>-8.4269545387160749E-2</v>
      </c>
      <c r="AN97">
        <f t="shared" si="22"/>
        <v>-9.1585264773417132E-3</v>
      </c>
    </row>
    <row r="98" spans="1:40">
      <c r="A98" s="37">
        <v>39448</v>
      </c>
      <c r="B98" s="1">
        <v>20.258357999999998</v>
      </c>
      <c r="C98" s="1">
        <v>31.671975999999997</v>
      </c>
      <c r="D98" s="1">
        <v>29.939643999999998</v>
      </c>
      <c r="E98" s="1">
        <v>197.58021499999998</v>
      </c>
      <c r="F98" s="1">
        <v>25.464143999999997</v>
      </c>
      <c r="G98" s="1">
        <v>15.315688</v>
      </c>
      <c r="H98" s="1">
        <v>61.846443000000001</v>
      </c>
      <c r="I98" s="1">
        <v>38.938521999999999</v>
      </c>
      <c r="J98" s="1">
        <v>32.559559</v>
      </c>
      <c r="K98" s="1">
        <v>10.281848999999999</v>
      </c>
      <c r="L98" s="1">
        <v>37.125434999999996</v>
      </c>
      <c r="M98" s="1">
        <v>14.115888999999999</v>
      </c>
      <c r="N98" s="1">
        <v>21.068707999999997</v>
      </c>
      <c r="O98" s="1">
        <v>16.525358000000001</v>
      </c>
      <c r="P98" s="1">
        <v>4.0595889999999999</v>
      </c>
      <c r="Q98" s="1">
        <v>3.8849999999999998</v>
      </c>
      <c r="R98" s="1">
        <v>23.417321999999999</v>
      </c>
      <c r="S98" s="1">
        <v>56.790084999999998</v>
      </c>
      <c r="V98" s="37">
        <v>39448</v>
      </c>
      <c r="W98">
        <f t="shared" si="23"/>
        <v>-5.2954439841570505E-3</v>
      </c>
      <c r="X98">
        <f t="shared" si="24"/>
        <v>-9.9886852654851699E-2</v>
      </c>
      <c r="Y98">
        <f t="shared" si="26"/>
        <v>-0.13487394840098965</v>
      </c>
      <c r="Z98">
        <f t="shared" si="27"/>
        <v>-0.14855161484665855</v>
      </c>
      <c r="AA98">
        <f t="shared" si="28"/>
        <v>-9.396165054674524E-2</v>
      </c>
      <c r="AB98">
        <f t="shared" si="29"/>
        <v>-0.10644438565214963</v>
      </c>
      <c r="AC98">
        <f t="shared" si="30"/>
        <v>-2.6838568549528468E-2</v>
      </c>
      <c r="AD98">
        <f t="shared" si="31"/>
        <v>1.6723105206715345E-2</v>
      </c>
      <c r="AE98">
        <f t="shared" si="32"/>
        <v>-5.4906425483219917E-2</v>
      </c>
      <c r="AF98">
        <f t="shared" si="33"/>
        <v>-4.6233026763960405E-2</v>
      </c>
      <c r="AG98">
        <f t="shared" si="34"/>
        <v>-0.13602903238709527</v>
      </c>
      <c r="AH98">
        <f t="shared" si="35"/>
        <v>0.11290333892537693</v>
      </c>
      <c r="AI98">
        <f t="shared" si="36"/>
        <v>-0.14231247592401011</v>
      </c>
      <c r="AJ98">
        <f t="shared" si="25"/>
        <v>-1.6036566348517026E-3</v>
      </c>
      <c r="AK98">
        <f t="shared" si="19"/>
        <v>-7.6389013764693925E-2</v>
      </c>
      <c r="AL98">
        <f t="shared" si="20"/>
        <v>-0.17027027027027022</v>
      </c>
      <c r="AM98">
        <f t="shared" si="21"/>
        <v>-0.16564400489517969</v>
      </c>
      <c r="AN98">
        <f t="shared" si="22"/>
        <v>6.3019257674997275E-2</v>
      </c>
    </row>
    <row r="99" spans="1:40">
      <c r="A99" s="37">
        <v>39479</v>
      </c>
      <c r="B99" s="1">
        <v>20.151080999999998</v>
      </c>
      <c r="C99" s="1">
        <v>28.508361999999998</v>
      </c>
      <c r="D99" s="1">
        <v>25.901565999999999</v>
      </c>
      <c r="E99" s="1">
        <v>168.229355</v>
      </c>
      <c r="F99" s="1">
        <v>23.071490999999998</v>
      </c>
      <c r="G99" s="1">
        <v>13.685419</v>
      </c>
      <c r="H99" s="1">
        <v>60.186572999999996</v>
      </c>
      <c r="I99" s="1">
        <v>39.589694999999999</v>
      </c>
      <c r="J99" s="1">
        <v>30.771829999999998</v>
      </c>
      <c r="K99" s="1">
        <v>9.8064879999999999</v>
      </c>
      <c r="L99" s="1">
        <v>32.075297999999997</v>
      </c>
      <c r="M99" s="1">
        <v>15.709619999999999</v>
      </c>
      <c r="N99" s="1">
        <v>18.070367999999998</v>
      </c>
      <c r="O99" s="1">
        <v>16.498857000000001</v>
      </c>
      <c r="P99" s="1">
        <v>3.7494809999999998</v>
      </c>
      <c r="Q99" s="1">
        <v>3.2235</v>
      </c>
      <c r="R99" s="1">
        <v>19.538383</v>
      </c>
      <c r="S99" s="1">
        <v>60.368953999999995</v>
      </c>
      <c r="V99" s="37">
        <v>39479</v>
      </c>
      <c r="W99">
        <f t="shared" si="23"/>
        <v>-3.6465140505365347E-2</v>
      </c>
      <c r="X99">
        <f t="shared" si="24"/>
        <v>-4.6049822153935077E-2</v>
      </c>
      <c r="Y99">
        <f t="shared" si="26"/>
        <v>5.6580169708657771E-2</v>
      </c>
      <c r="Z99">
        <f t="shared" si="27"/>
        <v>-9.6584071192569246E-2</v>
      </c>
      <c r="AA99">
        <f t="shared" si="28"/>
        <v>-0.11337563749130911</v>
      </c>
      <c r="AB99">
        <f t="shared" si="29"/>
        <v>-6.5640664710375329E-2</v>
      </c>
      <c r="AC99">
        <f t="shared" si="30"/>
        <v>-5.5979678391059086E-2</v>
      </c>
      <c r="AD99">
        <f t="shared" si="31"/>
        <v>5.8778679653884697E-2</v>
      </c>
      <c r="AE99">
        <f t="shared" si="32"/>
        <v>-1.8953406410993363E-2</v>
      </c>
      <c r="AF99">
        <f t="shared" si="33"/>
        <v>-4.7314390228183678E-2</v>
      </c>
      <c r="AG99">
        <f t="shared" si="34"/>
        <v>3.3569259434472136E-2</v>
      </c>
      <c r="AH99">
        <f t="shared" si="35"/>
        <v>2.6046015116852027E-2</v>
      </c>
      <c r="AI99">
        <f t="shared" si="36"/>
        <v>5.785549027003776E-3</v>
      </c>
      <c r="AJ99">
        <f t="shared" si="25"/>
        <v>-8.4738173074656101E-2</v>
      </c>
      <c r="AK99">
        <f t="shared" si="19"/>
        <v>0.14781619109418068</v>
      </c>
      <c r="AL99">
        <f t="shared" si="20"/>
        <v>0.10594074763455869</v>
      </c>
      <c r="AM99">
        <f t="shared" si="21"/>
        <v>4.7436115875095747E-2</v>
      </c>
      <c r="AN99">
        <f t="shared" si="22"/>
        <v>1.5108593731804584E-2</v>
      </c>
    </row>
    <row r="100" spans="1:40">
      <c r="A100" s="37">
        <v>39508</v>
      </c>
      <c r="B100" s="1">
        <v>19.416269</v>
      </c>
      <c r="C100" s="1">
        <v>27.195556999999997</v>
      </c>
      <c r="D100" s="1">
        <v>27.367080999999999</v>
      </c>
      <c r="E100" s="1">
        <v>151.98107899999999</v>
      </c>
      <c r="F100" s="1">
        <v>20.455745999999998</v>
      </c>
      <c r="G100" s="1">
        <v>12.787099</v>
      </c>
      <c r="H100" s="1">
        <v>56.817347999999996</v>
      </c>
      <c r="I100" s="1">
        <v>41.916725</v>
      </c>
      <c r="J100" s="1">
        <v>30.188599</v>
      </c>
      <c r="K100" s="1">
        <v>9.3424999999999994</v>
      </c>
      <c r="L100" s="1">
        <v>33.152042000000002</v>
      </c>
      <c r="M100" s="1">
        <v>16.118793</v>
      </c>
      <c r="N100" s="1">
        <v>18.174914999999999</v>
      </c>
      <c r="O100" s="1">
        <v>15.100773999999999</v>
      </c>
      <c r="P100" s="1">
        <v>4.3037149999999995</v>
      </c>
      <c r="Q100" s="1">
        <v>3.5649999999999999</v>
      </c>
      <c r="R100" s="1">
        <v>20.465208000000001</v>
      </c>
      <c r="S100" s="1">
        <v>61.281043999999994</v>
      </c>
      <c r="V100" s="37">
        <v>39508</v>
      </c>
      <c r="W100">
        <f t="shared" si="23"/>
        <v>5.5594305991537259E-2</v>
      </c>
      <c r="X100">
        <f t="shared" si="24"/>
        <v>6.8569656433218884E-3</v>
      </c>
      <c r="Y100">
        <f t="shared" si="26"/>
        <v>0.10942964651582678</v>
      </c>
      <c r="Z100">
        <f t="shared" si="27"/>
        <v>0.17973868312910188</v>
      </c>
      <c r="AA100">
        <f t="shared" si="28"/>
        <v>0.11515263241927239</v>
      </c>
      <c r="AB100">
        <f t="shared" si="29"/>
        <v>0.10264978788386636</v>
      </c>
      <c r="AC100">
        <f t="shared" si="30"/>
        <v>4.8369962638875691E-2</v>
      </c>
      <c r="AD100">
        <f t="shared" si="31"/>
        <v>-4.3099621928955605E-2</v>
      </c>
      <c r="AE100">
        <f t="shared" si="32"/>
        <v>1.9530717540088522E-2</v>
      </c>
      <c r="AF100">
        <f t="shared" si="33"/>
        <v>-3.9178592453839957E-2</v>
      </c>
      <c r="AG100">
        <f t="shared" si="34"/>
        <v>9.8353549383172034E-2</v>
      </c>
      <c r="AH100">
        <f t="shared" si="35"/>
        <v>3.2838563036326603E-2</v>
      </c>
      <c r="AI100">
        <f t="shared" si="36"/>
        <v>2.2336610652649514E-2</v>
      </c>
      <c r="AJ100">
        <f t="shared" si="25"/>
        <v>7.1393360366826183E-2</v>
      </c>
      <c r="AK100">
        <f t="shared" si="19"/>
        <v>0.21219504544329726</v>
      </c>
      <c r="AL100">
        <f t="shared" si="20"/>
        <v>0.102805049088359</v>
      </c>
      <c r="AM100">
        <f t="shared" si="21"/>
        <v>4.9331528905056108E-3</v>
      </c>
      <c r="AN100">
        <f t="shared" si="22"/>
        <v>4.8289206691713764E-2</v>
      </c>
    </row>
    <row r="101" spans="1:40">
      <c r="A101" s="37">
        <v>39539</v>
      </c>
      <c r="B101" s="1">
        <v>20.495702999999999</v>
      </c>
      <c r="C101" s="1">
        <v>27.382035999999999</v>
      </c>
      <c r="D101" s="1">
        <v>30.361850999999998</v>
      </c>
      <c r="E101" s="1">
        <v>179.29795799999999</v>
      </c>
      <c r="F101" s="1">
        <v>22.811278999999999</v>
      </c>
      <c r="G101" s="1">
        <v>14.099691999999999</v>
      </c>
      <c r="H101" s="1">
        <v>59.565600999999994</v>
      </c>
      <c r="I101" s="1">
        <v>40.110129999999998</v>
      </c>
      <c r="J101" s="1">
        <v>30.778203999999999</v>
      </c>
      <c r="K101" s="1">
        <v>8.9764739999999996</v>
      </c>
      <c r="L101" s="1">
        <v>36.412662999999995</v>
      </c>
      <c r="M101" s="1">
        <v>16.648111</v>
      </c>
      <c r="N101" s="1">
        <v>18.580880999999998</v>
      </c>
      <c r="O101" s="1">
        <v>16.178868999999999</v>
      </c>
      <c r="P101" s="1">
        <v>5.2169419999999995</v>
      </c>
      <c r="Q101" s="1">
        <v>3.9314999999999998</v>
      </c>
      <c r="R101" s="1">
        <v>20.566165999999999</v>
      </c>
      <c r="S101" s="1">
        <v>64.240257</v>
      </c>
      <c r="V101" s="37">
        <v>39539</v>
      </c>
      <c r="W101">
        <f t="shared" si="23"/>
        <v>-0.17774735514073359</v>
      </c>
      <c r="X101">
        <f t="shared" si="24"/>
        <v>-9.4032963801523012E-2</v>
      </c>
      <c r="Y101">
        <f t="shared" si="26"/>
        <v>-9.0230631854428103E-2</v>
      </c>
      <c r="Z101">
        <f t="shared" si="27"/>
        <v>-0.13375557238638491</v>
      </c>
      <c r="AA101">
        <f t="shared" si="28"/>
        <v>-3.6315368375443094E-3</v>
      </c>
      <c r="AB101">
        <f t="shared" si="29"/>
        <v>-6.4057143943286127E-2</v>
      </c>
      <c r="AC101">
        <f t="shared" si="30"/>
        <v>-3.2473171889930201E-2</v>
      </c>
      <c r="AD101">
        <f t="shared" si="31"/>
        <v>-9.2713486593038429E-3</v>
      </c>
      <c r="AE101">
        <f t="shared" si="32"/>
        <v>7.0482995044154756E-3</v>
      </c>
      <c r="AF101">
        <f t="shared" si="33"/>
        <v>-3.7294710595719489E-2</v>
      </c>
      <c r="AG101">
        <f t="shared" si="34"/>
        <v>-3.1023877599943631E-2</v>
      </c>
      <c r="AH101">
        <f t="shared" si="35"/>
        <v>-0.10666651609903378</v>
      </c>
      <c r="AI101">
        <f t="shared" si="36"/>
        <v>-7.3276988319337433E-2</v>
      </c>
      <c r="AJ101">
        <f t="shared" si="25"/>
        <v>0.10993320979358936</v>
      </c>
      <c r="AK101">
        <f t="shared" si="19"/>
        <v>8.5081835297383029E-2</v>
      </c>
      <c r="AL101">
        <f t="shared" si="20"/>
        <v>3.8026198651913964E-2</v>
      </c>
      <c r="AM101">
        <f t="shared" si="21"/>
        <v>-7.0130718579242629E-3</v>
      </c>
      <c r="AN101">
        <f t="shared" si="22"/>
        <v>7.2328010767453654E-2</v>
      </c>
    </row>
    <row r="102" spans="1:40">
      <c r="A102" s="37">
        <v>39569</v>
      </c>
      <c r="B102" s="1">
        <v>16.852646</v>
      </c>
      <c r="C102" s="1">
        <v>24.807221999999999</v>
      </c>
      <c r="D102" s="1">
        <v>27.622281999999998</v>
      </c>
      <c r="E102" s="1">
        <v>155.31585699999999</v>
      </c>
      <c r="F102" s="1">
        <v>22.728438999999998</v>
      </c>
      <c r="G102" s="1">
        <v>13.196505999999999</v>
      </c>
      <c r="H102" s="1">
        <v>57.631316999999996</v>
      </c>
      <c r="I102" s="1">
        <v>39.738254999999995</v>
      </c>
      <c r="J102" s="1">
        <v>30.995137999999997</v>
      </c>
      <c r="K102" s="1">
        <v>8.6416989999999991</v>
      </c>
      <c r="L102" s="1">
        <v>35.283000999999999</v>
      </c>
      <c r="M102" s="1">
        <v>14.872314999999999</v>
      </c>
      <c r="N102" s="1">
        <v>17.219329999999999</v>
      </c>
      <c r="O102" s="1">
        <v>17.957463999999998</v>
      </c>
      <c r="P102" s="1">
        <v>5.6608089999999995</v>
      </c>
      <c r="Q102" s="1">
        <v>4.0809999999999995</v>
      </c>
      <c r="R102" s="1">
        <v>20.421934</v>
      </c>
      <c r="S102" s="1">
        <v>68.88662699999999</v>
      </c>
      <c r="V102" s="37">
        <v>39569</v>
      </c>
      <c r="W102">
        <f t="shared" si="23"/>
        <v>-0.2265287599347901</v>
      </c>
      <c r="X102">
        <f t="shared" si="24"/>
        <v>-0.29814757170311129</v>
      </c>
      <c r="Y102">
        <f t="shared" si="26"/>
        <v>-0.20209318694233877</v>
      </c>
      <c r="Z102">
        <f t="shared" si="27"/>
        <v>-0.22453353877447302</v>
      </c>
      <c r="AA102">
        <f t="shared" si="28"/>
        <v>-0.15994261638469756</v>
      </c>
      <c r="AB102">
        <f t="shared" si="29"/>
        <v>-0.17955199656636378</v>
      </c>
      <c r="AC102">
        <f t="shared" si="30"/>
        <v>-0.11322805619729283</v>
      </c>
      <c r="AD102">
        <f t="shared" si="31"/>
        <v>-7.9333654686145588E-2</v>
      </c>
      <c r="AE102">
        <f t="shared" si="32"/>
        <v>-7.7192655183532299E-2</v>
      </c>
      <c r="AF102">
        <f t="shared" si="33"/>
        <v>-8.3257354832654992E-2</v>
      </c>
      <c r="AG102">
        <f t="shared" si="34"/>
        <v>-0.18727106007791119</v>
      </c>
      <c r="AH102">
        <f t="shared" si="35"/>
        <v>-0.10457289265322843</v>
      </c>
      <c r="AI102">
        <f t="shared" si="36"/>
        <v>-0.12993083935321531</v>
      </c>
      <c r="AJ102">
        <f t="shared" si="25"/>
        <v>-0.13801241645256807</v>
      </c>
      <c r="AK102">
        <f t="shared" si="19"/>
        <v>-0.11290047058644788</v>
      </c>
      <c r="AL102">
        <f t="shared" si="20"/>
        <v>-0.10156824307767702</v>
      </c>
      <c r="AM102">
        <f t="shared" si="21"/>
        <v>-2.5025102911408956E-2</v>
      </c>
      <c r="AN102">
        <f t="shared" si="22"/>
        <v>-8.0472280926165735E-2</v>
      </c>
    </row>
    <row r="103" spans="1:40">
      <c r="A103" s="37">
        <v>39600</v>
      </c>
      <c r="B103" s="1">
        <v>13.035036999999999</v>
      </c>
      <c r="C103" s="1">
        <v>17.411009</v>
      </c>
      <c r="D103" s="1">
        <v>22.040006999999999</v>
      </c>
      <c r="E103" s="1">
        <v>120.44223799999999</v>
      </c>
      <c r="F103" s="1">
        <v>19.093192999999999</v>
      </c>
      <c r="G103" s="1">
        <v>10.827047</v>
      </c>
      <c r="H103" s="1">
        <v>51.105834999999999</v>
      </c>
      <c r="I103" s="1">
        <v>36.585673999999997</v>
      </c>
      <c r="J103" s="1">
        <v>28.602540999999999</v>
      </c>
      <c r="K103" s="1">
        <v>7.9222139999999994</v>
      </c>
      <c r="L103" s="1">
        <v>28.675515999999998</v>
      </c>
      <c r="M103" s="1">
        <v>13.317074</v>
      </c>
      <c r="N103" s="1">
        <v>14.982007999999999</v>
      </c>
      <c r="O103" s="1">
        <v>15.479111</v>
      </c>
      <c r="P103" s="1">
        <v>5.0217010000000002</v>
      </c>
      <c r="Q103" s="1">
        <v>3.6664999999999996</v>
      </c>
      <c r="R103" s="1">
        <v>19.910872999999999</v>
      </c>
      <c r="S103" s="1">
        <v>63.343162999999997</v>
      </c>
      <c r="V103" s="37">
        <v>39600</v>
      </c>
      <c r="W103">
        <f t="shared" si="23"/>
        <v>0.17494618542317916</v>
      </c>
      <c r="X103">
        <f t="shared" si="24"/>
        <v>0.40529937121966902</v>
      </c>
      <c r="Y103">
        <f t="shared" si="26"/>
        <v>0.18420307216780821</v>
      </c>
      <c r="Z103">
        <f t="shared" si="27"/>
        <v>0.11515490105721879</v>
      </c>
      <c r="AA103">
        <f t="shared" si="28"/>
        <v>0.13679304451591734</v>
      </c>
      <c r="AB103">
        <f t="shared" si="29"/>
        <v>-2.5506216053186183E-2</v>
      </c>
      <c r="AC103">
        <f t="shared" si="30"/>
        <v>-2.3595348750294391E-2</v>
      </c>
      <c r="AD103">
        <f t="shared" si="31"/>
        <v>7.6795851840805326E-2</v>
      </c>
      <c r="AE103">
        <f t="shared" si="32"/>
        <v>-1.4349074790243606E-3</v>
      </c>
      <c r="AF103">
        <f t="shared" si="33"/>
        <v>6.8688879144138251E-2</v>
      </c>
      <c r="AG103">
        <f t="shared" si="34"/>
        <v>-1.4600225502480853E-2</v>
      </c>
      <c r="AH103">
        <f t="shared" si="35"/>
        <v>-0.18193643738857357</v>
      </c>
      <c r="AI103">
        <f t="shared" si="36"/>
        <v>0.27452615163468069</v>
      </c>
      <c r="AJ103">
        <f t="shared" si="25"/>
        <v>-2.4249454635993022E-2</v>
      </c>
      <c r="AK103">
        <f t="shared" si="19"/>
        <v>-5.0704930460814125E-2</v>
      </c>
      <c r="AL103">
        <f t="shared" si="20"/>
        <v>4.1047320332742422E-2</v>
      </c>
      <c r="AM103">
        <f t="shared" si="21"/>
        <v>-6.5067413166665325E-2</v>
      </c>
      <c r="AN103">
        <f t="shared" si="22"/>
        <v>7.9726678631441353E-2</v>
      </c>
    </row>
    <row r="104" spans="1:40">
      <c r="A104" s="37">
        <v>39630</v>
      </c>
      <c r="B104" s="1">
        <v>15.315467</v>
      </c>
      <c r="C104" s="1">
        <v>24.467679999999998</v>
      </c>
      <c r="D104" s="1">
        <v>26.099843999999997</v>
      </c>
      <c r="E104" s="1">
        <v>134.31175199999998</v>
      </c>
      <c r="F104" s="1">
        <v>21.705009</v>
      </c>
      <c r="G104" s="1">
        <v>10.550889999999999</v>
      </c>
      <c r="H104" s="1">
        <v>49.899974999999998</v>
      </c>
      <c r="I104" s="1">
        <v>39.395302000000001</v>
      </c>
      <c r="J104" s="1">
        <v>28.561498999999998</v>
      </c>
      <c r="K104" s="1">
        <v>8.4663819999999994</v>
      </c>
      <c r="L104" s="1">
        <v>28.256847</v>
      </c>
      <c r="M104" s="1">
        <v>10.894212999999999</v>
      </c>
      <c r="N104" s="1">
        <v>19.094960999999998</v>
      </c>
      <c r="O104" s="1">
        <v>15.103750999999999</v>
      </c>
      <c r="P104" s="1">
        <v>4.7670759999999994</v>
      </c>
      <c r="Q104" s="1">
        <v>3.8169999999999997</v>
      </c>
      <c r="R104" s="1">
        <v>18.615323999999998</v>
      </c>
      <c r="S104" s="1">
        <v>68.393303000000003</v>
      </c>
      <c r="V104" s="37">
        <v>39630</v>
      </c>
      <c r="W104">
        <f t="shared" si="23"/>
        <v>-5.514680029019034E-2</v>
      </c>
      <c r="X104">
        <f t="shared" si="24"/>
        <v>-5.3495550048063382E-2</v>
      </c>
      <c r="Y104">
        <f t="shared" si="26"/>
        <v>-4.2061170940332057E-2</v>
      </c>
      <c r="Z104">
        <f t="shared" si="27"/>
        <v>3.3636155680554287E-2</v>
      </c>
      <c r="AA104">
        <f t="shared" si="28"/>
        <v>-5.48968673544434E-2</v>
      </c>
      <c r="AB104">
        <f t="shared" si="29"/>
        <v>0.106857999656901</v>
      </c>
      <c r="AC104">
        <f t="shared" si="30"/>
        <v>5.8439107434423198E-3</v>
      </c>
      <c r="AD104">
        <f t="shared" si="31"/>
        <v>7.2181322534346767E-2</v>
      </c>
      <c r="AE104">
        <f t="shared" si="32"/>
        <v>7.8012607111412446E-2</v>
      </c>
      <c r="AF104">
        <f t="shared" si="33"/>
        <v>2.3566973472257665E-2</v>
      </c>
      <c r="AG104">
        <f t="shared" si="34"/>
        <v>7.3616953795304835E-2</v>
      </c>
      <c r="AH104">
        <f t="shared" si="35"/>
        <v>3.1770904424211266E-2</v>
      </c>
      <c r="AI104">
        <f t="shared" si="36"/>
        <v>0</v>
      </c>
      <c r="AJ104">
        <f t="shared" si="25"/>
        <v>-3.2152873812604531E-2</v>
      </c>
      <c r="AK104">
        <f t="shared" si="19"/>
        <v>6.6562186128352158E-2</v>
      </c>
      <c r="AL104">
        <f t="shared" si="20"/>
        <v>5.8553838092743005E-2</v>
      </c>
      <c r="AM104">
        <f t="shared" si="21"/>
        <v>6.1042182236527361E-2</v>
      </c>
      <c r="AN104">
        <f t="shared" si="22"/>
        <v>-4.8835468583817515E-2</v>
      </c>
    </row>
    <row r="105" spans="1:40">
      <c r="A105" s="37">
        <v>39661</v>
      </c>
      <c r="B105" s="1">
        <v>14.470867999999999</v>
      </c>
      <c r="C105" s="1">
        <v>23.158767999999998</v>
      </c>
      <c r="D105" s="1">
        <v>25.002053999999998</v>
      </c>
      <c r="E105" s="1">
        <v>138.82948299999998</v>
      </c>
      <c r="F105" s="1">
        <v>20.513472</v>
      </c>
      <c r="G105" s="1">
        <v>11.678336999999999</v>
      </c>
      <c r="H105" s="1">
        <v>50.191586000000001</v>
      </c>
      <c r="I105" s="1">
        <v>42.238906999999998</v>
      </c>
      <c r="J105" s="1">
        <v>30.789655999999997</v>
      </c>
      <c r="K105" s="1">
        <v>8.6659089999999992</v>
      </c>
      <c r="L105" s="1">
        <v>30.337029999999999</v>
      </c>
      <c r="M105" s="1">
        <v>11.240331999999999</v>
      </c>
      <c r="N105" s="1">
        <v>19.094960999999998</v>
      </c>
      <c r="O105" s="1">
        <v>14.618122</v>
      </c>
      <c r="P105" s="1">
        <v>5.0843829999999999</v>
      </c>
      <c r="Q105" s="1">
        <v>4.0404999999999998</v>
      </c>
      <c r="R105" s="1">
        <v>19.751643999999999</v>
      </c>
      <c r="S105" s="1">
        <v>65.053283999999991</v>
      </c>
      <c r="V105" s="37">
        <v>39661</v>
      </c>
      <c r="W105">
        <f t="shared" si="23"/>
        <v>-2.1589582601403497E-3</v>
      </c>
      <c r="X105">
        <f t="shared" si="24"/>
        <v>0.12395650753097057</v>
      </c>
      <c r="Y105">
        <f t="shared" si="26"/>
        <v>0.21330247506864847</v>
      </c>
      <c r="Z105">
        <f t="shared" si="27"/>
        <v>8.0042169428809484E-2</v>
      </c>
      <c r="AA105">
        <f t="shared" si="28"/>
        <v>-1.2827131360308134E-2</v>
      </c>
      <c r="AB105">
        <f t="shared" si="29"/>
        <v>-0.13640734977933922</v>
      </c>
      <c r="AC105">
        <f t="shared" si="30"/>
        <v>-0.29856864853802395</v>
      </c>
      <c r="AD105">
        <f t="shared" si="31"/>
        <v>-1.1467863029694849E-3</v>
      </c>
      <c r="AE105">
        <f t="shared" si="32"/>
        <v>-0.12950979380867383</v>
      </c>
      <c r="AF105">
        <f t="shared" si="33"/>
        <v>-1.9135095925886091E-2</v>
      </c>
      <c r="AG105">
        <f t="shared" si="34"/>
        <v>-0.10710741954634315</v>
      </c>
      <c r="AH105">
        <f t="shared" si="35"/>
        <v>0.12011068712205306</v>
      </c>
      <c r="AI105">
        <f t="shared" si="36"/>
        <v>0.25335254677922625</v>
      </c>
      <c r="AJ105">
        <f t="shared" si="25"/>
        <v>4.7038326811063673E-2</v>
      </c>
      <c r="AK105">
        <f t="shared" si="19"/>
        <v>-0.32955817844564428</v>
      </c>
      <c r="AL105">
        <f t="shared" si="20"/>
        <v>-9.9616384110877337E-2</v>
      </c>
      <c r="AM105">
        <f t="shared" si="21"/>
        <v>-1.8085633783192889E-2</v>
      </c>
      <c r="AN105">
        <f t="shared" si="22"/>
        <v>-3.5442822532986876E-2</v>
      </c>
    </row>
    <row r="106" spans="1:40">
      <c r="A106" s="37">
        <v>39692</v>
      </c>
      <c r="B106" s="1">
        <v>14.439625999999999</v>
      </c>
      <c r="C106" s="1">
        <v>26.029447999999999</v>
      </c>
      <c r="D106" s="1">
        <v>30.335054</v>
      </c>
      <c r="E106" s="1">
        <v>149.94169600000001</v>
      </c>
      <c r="F106" s="1">
        <v>20.250342999999997</v>
      </c>
      <c r="G106" s="1">
        <v>10.085326</v>
      </c>
      <c r="H106" s="1">
        <v>35.205951999999996</v>
      </c>
      <c r="I106" s="1">
        <v>42.190467999999996</v>
      </c>
      <c r="J106" s="1">
        <v>26.802094</v>
      </c>
      <c r="K106" s="1">
        <v>8.5000859999999996</v>
      </c>
      <c r="L106" s="1">
        <v>27.087709</v>
      </c>
      <c r="M106" s="1">
        <v>12.590415999999999</v>
      </c>
      <c r="N106" s="1">
        <v>23.932717999999998</v>
      </c>
      <c r="O106" s="1">
        <v>15.305733999999999</v>
      </c>
      <c r="P106" s="1">
        <v>3.4087829999999997</v>
      </c>
      <c r="Q106" s="1">
        <v>3.6379999999999999</v>
      </c>
      <c r="R106" s="1">
        <v>19.394423</v>
      </c>
      <c r="S106" s="1">
        <v>62.747611999999997</v>
      </c>
      <c r="V106" s="37">
        <v>39692</v>
      </c>
      <c r="W106">
        <f t="shared" si="23"/>
        <v>-0.56558701728147243</v>
      </c>
      <c r="X106">
        <f t="shared" si="24"/>
        <v>-0.29561295345179806</v>
      </c>
      <c r="Y106">
        <f t="shared" si="26"/>
        <v>-0.11670228112994294</v>
      </c>
      <c r="Z106">
        <f t="shared" si="27"/>
        <v>-0.3344711800512114</v>
      </c>
      <c r="AA106">
        <f t="shared" si="28"/>
        <v>-0.17006921808682438</v>
      </c>
      <c r="AB106">
        <f t="shared" si="29"/>
        <v>-0.31228231987741406</v>
      </c>
      <c r="AC106">
        <f t="shared" si="30"/>
        <v>-0.21721582759642458</v>
      </c>
      <c r="AD106">
        <f t="shared" si="31"/>
        <v>-7.3898611411468473E-2</v>
      </c>
      <c r="AE106">
        <f t="shared" si="32"/>
        <v>-0.21036192172148938</v>
      </c>
      <c r="AF106">
        <f t="shared" si="33"/>
        <v>-3.9588070050114721E-2</v>
      </c>
      <c r="AG106">
        <f t="shared" si="34"/>
        <v>-0.22382173405657896</v>
      </c>
      <c r="AH106">
        <f t="shared" si="35"/>
        <v>-0.30021017574002323</v>
      </c>
      <c r="AI106">
        <f t="shared" si="36"/>
        <v>-9.2725824120770531E-2</v>
      </c>
      <c r="AJ106">
        <f t="shared" si="25"/>
        <v>-0.22872584875707364</v>
      </c>
      <c r="AK106">
        <f t="shared" si="19"/>
        <v>-5.3404983538113085E-2</v>
      </c>
      <c r="AL106">
        <f t="shared" si="20"/>
        <v>-0.21330401319406275</v>
      </c>
      <c r="AM106">
        <f t="shared" si="21"/>
        <v>-0.16335680623238957</v>
      </c>
      <c r="AN106">
        <f t="shared" si="22"/>
        <v>-0.20511304876430994</v>
      </c>
    </row>
    <row r="107" spans="1:40">
      <c r="A107" s="37">
        <v>39722</v>
      </c>
      <c r="B107" s="1">
        <v>6.272761</v>
      </c>
      <c r="C107" s="1">
        <v>18.334806</v>
      </c>
      <c r="D107" s="1">
        <v>26.794884</v>
      </c>
      <c r="E107" s="1">
        <v>99.790520000000001</v>
      </c>
      <c r="F107" s="1">
        <v>16.806383</v>
      </c>
      <c r="G107" s="1">
        <v>6.9358569999999995</v>
      </c>
      <c r="H107" s="1">
        <v>27.558661999999998</v>
      </c>
      <c r="I107" s="1">
        <v>39.072651</v>
      </c>
      <c r="J107" s="1">
        <v>21.163954</v>
      </c>
      <c r="K107" s="1">
        <v>8.1635840000000002</v>
      </c>
      <c r="L107" s="1">
        <v>21.024891</v>
      </c>
      <c r="M107" s="1">
        <v>8.8106449999999992</v>
      </c>
      <c r="N107" s="1">
        <v>21.713536999999999</v>
      </c>
      <c r="O107" s="1">
        <v>11.804917</v>
      </c>
      <c r="P107" s="1">
        <v>3.226737</v>
      </c>
      <c r="Q107" s="1">
        <v>2.8619999999999997</v>
      </c>
      <c r="R107" s="1">
        <v>16.226212</v>
      </c>
      <c r="S107" s="1">
        <v>49.877257999999998</v>
      </c>
      <c r="V107" s="37">
        <v>39722</v>
      </c>
      <c r="W107">
        <f t="shared" si="23"/>
        <v>4.8462391600763891E-2</v>
      </c>
      <c r="X107">
        <f t="shared" si="24"/>
        <v>-0.32767873300650147</v>
      </c>
      <c r="Y107">
        <f t="shared" si="26"/>
        <v>-0.22656310062771684</v>
      </c>
      <c r="Z107">
        <f t="shared" si="27"/>
        <v>-0.38505274849755272</v>
      </c>
      <c r="AA107">
        <f t="shared" si="28"/>
        <v>-0.18127898192014311</v>
      </c>
      <c r="AB107">
        <f t="shared" si="29"/>
        <v>-0.39625701625624632</v>
      </c>
      <c r="AC107">
        <f t="shared" si="30"/>
        <v>-9.725062123843313E-2</v>
      </c>
      <c r="AD107">
        <f t="shared" si="31"/>
        <v>3.4314282898284974E-3</v>
      </c>
      <c r="AE107">
        <f t="shared" si="32"/>
        <v>-2.9016222582982462E-2</v>
      </c>
      <c r="AF107">
        <f t="shared" si="33"/>
        <v>-7.2275485865031838E-2</v>
      </c>
      <c r="AG107">
        <f t="shared" si="34"/>
        <v>-0.14803486971704161</v>
      </c>
      <c r="AH107">
        <f t="shared" si="35"/>
        <v>-0.24599992395562412</v>
      </c>
      <c r="AI107">
        <f t="shared" si="36"/>
        <v>-0.15154186994039714</v>
      </c>
      <c r="AJ107">
        <f t="shared" si="25"/>
        <v>-0.24297621067560238</v>
      </c>
      <c r="AK107">
        <f t="shared" si="19"/>
        <v>-0.13867476649011062</v>
      </c>
      <c r="AL107">
        <f t="shared" si="20"/>
        <v>-0.25401816911250874</v>
      </c>
      <c r="AM107">
        <f t="shared" si="21"/>
        <v>-9.4491678033049323E-2</v>
      </c>
      <c r="AN107">
        <f t="shared" si="22"/>
        <v>-0.12229736045233282</v>
      </c>
    </row>
    <row r="108" spans="1:40">
      <c r="A108" s="37">
        <v>39753</v>
      </c>
      <c r="B108" s="1">
        <v>6.5767539999999993</v>
      </c>
      <c r="C108" s="1">
        <v>12.326879999999999</v>
      </c>
      <c r="D108" s="1">
        <v>20.724152</v>
      </c>
      <c r="E108" s="1">
        <v>61.365905999999995</v>
      </c>
      <c r="F108" s="1">
        <v>13.759739</v>
      </c>
      <c r="G108" s="1">
        <v>4.1874750000000001</v>
      </c>
      <c r="H108" s="1">
        <v>24.878564999999998</v>
      </c>
      <c r="I108" s="1">
        <v>39.206725999999996</v>
      </c>
      <c r="J108" s="1">
        <v>20.549855999999998</v>
      </c>
      <c r="K108" s="1">
        <v>7.5735570000000001</v>
      </c>
      <c r="L108" s="1">
        <v>17.912474</v>
      </c>
      <c r="M108" s="1">
        <v>6.6432269999999995</v>
      </c>
      <c r="N108" s="1">
        <v>18.423026999999998</v>
      </c>
      <c r="O108" s="1">
        <v>8.9366029999999999</v>
      </c>
      <c r="P108" s="1">
        <v>2.7792699999999999</v>
      </c>
      <c r="Q108" s="1">
        <v>2.1349999999999998</v>
      </c>
      <c r="R108" s="1">
        <v>14.692969999999999</v>
      </c>
      <c r="S108" s="1">
        <v>43.777400999999998</v>
      </c>
      <c r="V108" s="37">
        <v>39753</v>
      </c>
      <c r="W108">
        <f t="shared" si="23"/>
        <v>-0.12888865844761715</v>
      </c>
      <c r="X108">
        <f t="shared" si="24"/>
        <v>-0.13353841361317711</v>
      </c>
      <c r="Y108">
        <f t="shared" si="26"/>
        <v>-4.1054997087456658E-3</v>
      </c>
      <c r="Z108">
        <f t="shared" si="27"/>
        <v>-0.19059094475033089</v>
      </c>
      <c r="AA108">
        <f t="shared" si="28"/>
        <v>-0.10860525770147236</v>
      </c>
      <c r="AB108">
        <f t="shared" si="29"/>
        <v>0.39487853658827793</v>
      </c>
      <c r="AC108">
        <f t="shared" si="30"/>
        <v>0.10083278517068812</v>
      </c>
      <c r="AD108">
        <f t="shared" si="31"/>
        <v>-3.9316442796065131E-2</v>
      </c>
      <c r="AE108">
        <f t="shared" si="32"/>
        <v>7.2664110152402081E-2</v>
      </c>
      <c r="AF108">
        <f t="shared" si="33"/>
        <v>9.6973588500093202E-2</v>
      </c>
      <c r="AG108">
        <f t="shared" si="34"/>
        <v>-0.20420451133662504</v>
      </c>
      <c r="AH108">
        <f t="shared" si="35"/>
        <v>-1.9670560707921052E-2</v>
      </c>
      <c r="AI108">
        <f t="shared" si="36"/>
        <v>3.0400541669943992E-2</v>
      </c>
      <c r="AJ108">
        <f t="shared" si="25"/>
        <v>1.7011385646201253E-2</v>
      </c>
      <c r="AK108">
        <f t="shared" si="19"/>
        <v>-7.8990166482565585E-2</v>
      </c>
      <c r="AL108">
        <f t="shared" si="20"/>
        <v>0.20093676814988304</v>
      </c>
      <c r="AM108">
        <f t="shared" si="21"/>
        <v>-3.206268031582446E-2</v>
      </c>
      <c r="AN108">
        <f t="shared" si="22"/>
        <v>3.7138339939367292E-2</v>
      </c>
    </row>
    <row r="109" spans="1:40">
      <c r="A109" s="37">
        <v>39783</v>
      </c>
      <c r="B109" s="1">
        <v>5.7290849999999995</v>
      </c>
      <c r="C109" s="1">
        <v>10.680767999999999</v>
      </c>
      <c r="D109" s="1">
        <v>20.639068999999999</v>
      </c>
      <c r="E109" s="1">
        <v>49.670119999999997</v>
      </c>
      <c r="F109" s="1">
        <v>12.265359</v>
      </c>
      <c r="G109" s="1">
        <v>5.8410189999999993</v>
      </c>
      <c r="H109" s="1">
        <v>27.387139999999999</v>
      </c>
      <c r="I109" s="1">
        <v>37.665256999999997</v>
      </c>
      <c r="J109" s="1">
        <v>22.043092999999999</v>
      </c>
      <c r="K109" s="1">
        <v>8.3079920000000005</v>
      </c>
      <c r="L109" s="1">
        <v>14.254665999999999</v>
      </c>
      <c r="M109" s="1">
        <v>6.5125509999999993</v>
      </c>
      <c r="N109" s="1">
        <v>18.983097000000001</v>
      </c>
      <c r="O109" s="1">
        <v>9.0886269999999989</v>
      </c>
      <c r="P109" s="1">
        <v>2.5597349999999999</v>
      </c>
      <c r="Q109" s="1">
        <v>2.5640000000000001</v>
      </c>
      <c r="R109" s="1">
        <v>14.221874</v>
      </c>
      <c r="S109" s="1">
        <v>45.403220999999995</v>
      </c>
      <c r="V109" s="37">
        <v>39783</v>
      </c>
      <c r="W109">
        <f t="shared" si="23"/>
        <v>-0.41734709818409044</v>
      </c>
      <c r="X109">
        <f t="shared" si="24"/>
        <v>-0.52202650595912203</v>
      </c>
      <c r="Y109">
        <f t="shared" si="26"/>
        <v>-0.1909297846719733</v>
      </c>
      <c r="Z109">
        <f t="shared" si="27"/>
        <v>-0.47093882599840708</v>
      </c>
      <c r="AA109">
        <f t="shared" si="28"/>
        <v>3.9315033502076845E-2</v>
      </c>
      <c r="AB109">
        <f t="shared" si="29"/>
        <v>-0.12205695615782099</v>
      </c>
      <c r="AC109">
        <f t="shared" si="30"/>
        <v>-8.6776822990644514E-2</v>
      </c>
      <c r="AD109">
        <f t="shared" si="31"/>
        <v>-0.11840827211135176</v>
      </c>
      <c r="AE109">
        <f t="shared" si="32"/>
        <v>-7.3479933147312812E-2</v>
      </c>
      <c r="AF109">
        <f t="shared" si="33"/>
        <v>-0.17673632810431217</v>
      </c>
      <c r="AG109">
        <f t="shared" si="34"/>
        <v>-9.8112996825039558E-2</v>
      </c>
      <c r="AH109">
        <f t="shared" si="35"/>
        <v>-0.32196461877995275</v>
      </c>
      <c r="AI109">
        <f t="shared" si="36"/>
        <v>-0.35888701406308998</v>
      </c>
      <c r="AJ109">
        <f t="shared" si="25"/>
        <v>-0.10036246398933513</v>
      </c>
      <c r="AK109">
        <f t="shared" si="19"/>
        <v>5.6004625478809314E-2</v>
      </c>
      <c r="AL109">
        <f t="shared" si="20"/>
        <v>0.14703588143525731</v>
      </c>
      <c r="AM109">
        <f t="shared" si="21"/>
        <v>-0.12037049407131585</v>
      </c>
      <c r="AN109">
        <f t="shared" si="22"/>
        <v>8.8996615460387785E-2</v>
      </c>
    </row>
    <row r="110" spans="1:40">
      <c r="A110" s="37">
        <v>39814</v>
      </c>
      <c r="B110" s="1">
        <v>3.3380679999999998</v>
      </c>
      <c r="C110" s="1">
        <v>5.105124</v>
      </c>
      <c r="D110" s="1">
        <v>16.698456</v>
      </c>
      <c r="E110" s="1">
        <v>26.278531999999998</v>
      </c>
      <c r="F110" s="1">
        <v>12.747572</v>
      </c>
      <c r="G110" s="1">
        <v>5.128082</v>
      </c>
      <c r="H110" s="1">
        <v>25.010570999999999</v>
      </c>
      <c r="I110" s="1">
        <v>33.205379000000001</v>
      </c>
      <c r="J110" s="1">
        <v>20.423368</v>
      </c>
      <c r="K110" s="1">
        <v>6.8396679999999996</v>
      </c>
      <c r="L110" s="1">
        <v>12.856097999999999</v>
      </c>
      <c r="M110" s="1">
        <v>4.4157399999999996</v>
      </c>
      <c r="N110" s="1">
        <v>12.170309999999999</v>
      </c>
      <c r="O110" s="1">
        <v>8.1764700000000001</v>
      </c>
      <c r="P110" s="1">
        <v>2.7030919999999998</v>
      </c>
      <c r="Q110" s="1">
        <v>2.9409999999999998</v>
      </c>
      <c r="R110" s="1">
        <v>12.509979999999999</v>
      </c>
      <c r="S110" s="1">
        <v>49.443953999999998</v>
      </c>
      <c r="V110" s="37">
        <v>39814</v>
      </c>
      <c r="W110">
        <f t="shared" si="23"/>
        <v>-9.9824808841521548E-2</v>
      </c>
      <c r="X110">
        <f t="shared" si="24"/>
        <v>-0.39969626594770274</v>
      </c>
      <c r="Y110">
        <f t="shared" si="26"/>
        <v>-9.3346115353419593E-2</v>
      </c>
      <c r="Z110">
        <f t="shared" si="27"/>
        <v>-0.57645868498285979</v>
      </c>
      <c r="AA110">
        <f t="shared" si="28"/>
        <v>-0.17116098657846371</v>
      </c>
      <c r="AB110">
        <f t="shared" si="29"/>
        <v>-0.12067045729767981</v>
      </c>
      <c r="AC110">
        <f t="shared" si="30"/>
        <v>-0.2086935160336803</v>
      </c>
      <c r="AD110">
        <f t="shared" si="31"/>
        <v>-0.1099474274935998</v>
      </c>
      <c r="AE110">
        <f t="shared" si="32"/>
        <v>-0.14395387675529325</v>
      </c>
      <c r="AF110">
        <f t="shared" si="33"/>
        <v>-0.1556926447307091</v>
      </c>
      <c r="AG110">
        <f t="shared" si="34"/>
        <v>-0.27292775770688749</v>
      </c>
      <c r="AH110">
        <f t="shared" si="35"/>
        <v>-0.16901402709398647</v>
      </c>
      <c r="AI110">
        <f t="shared" si="36"/>
        <v>-0.35978853455663823</v>
      </c>
      <c r="AJ110">
        <f t="shared" si="25"/>
        <v>-7.7995638704722231E-2</v>
      </c>
      <c r="AK110">
        <f t="shared" si="19"/>
        <v>-9.0977295630338042E-3</v>
      </c>
      <c r="AL110">
        <f t="shared" si="20"/>
        <v>0.101496089765386</v>
      </c>
      <c r="AM110">
        <f t="shared" si="21"/>
        <v>-5.5555324628816335E-2</v>
      </c>
      <c r="AN110">
        <f t="shared" si="22"/>
        <v>4.146998437867669E-3</v>
      </c>
    </row>
    <row r="111" spans="1:40">
      <c r="A111" s="37">
        <v>39845</v>
      </c>
      <c r="B111" s="1">
        <v>3.0048459999999997</v>
      </c>
      <c r="C111" s="1">
        <v>3.0646249999999999</v>
      </c>
      <c r="D111" s="1">
        <v>15.139719999999999</v>
      </c>
      <c r="E111" s="1">
        <v>11.130044</v>
      </c>
      <c r="F111" s="1">
        <v>10.565685</v>
      </c>
      <c r="G111" s="1">
        <v>4.5092739999999996</v>
      </c>
      <c r="H111" s="1">
        <v>19.791027</v>
      </c>
      <c r="I111" s="1">
        <v>29.554532999999999</v>
      </c>
      <c r="J111" s="1">
        <v>17.483345</v>
      </c>
      <c r="K111" s="1">
        <v>5.7747820000000001</v>
      </c>
      <c r="L111" s="1">
        <v>9.3473119999999987</v>
      </c>
      <c r="M111" s="1">
        <v>3.6694179999999998</v>
      </c>
      <c r="N111" s="1">
        <v>7.7915719999999995</v>
      </c>
      <c r="O111" s="1">
        <v>7.5387409999999999</v>
      </c>
      <c r="P111" s="1">
        <v>2.6784999999999997</v>
      </c>
      <c r="Q111" s="1">
        <v>3.2395</v>
      </c>
      <c r="R111" s="1">
        <v>11.814983999999999</v>
      </c>
      <c r="S111" s="1">
        <v>49.648997999999999</v>
      </c>
      <c r="V111" s="37">
        <v>39845</v>
      </c>
      <c r="W111">
        <f t="shared" si="23"/>
        <v>0.65369606295963256</v>
      </c>
      <c r="X111">
        <f t="shared" si="24"/>
        <v>0.72658253456785094</v>
      </c>
      <c r="Y111">
        <f t="shared" si="26"/>
        <v>0.16323921446367573</v>
      </c>
      <c r="Z111">
        <f t="shared" si="27"/>
        <v>0.68666655765242235</v>
      </c>
      <c r="AA111">
        <f t="shared" si="28"/>
        <v>0.20529506605582115</v>
      </c>
      <c r="AB111">
        <f t="shared" si="29"/>
        <v>0.13087738735769891</v>
      </c>
      <c r="AC111">
        <f t="shared" si="30"/>
        <v>0.19570793370146983</v>
      </c>
      <c r="AD111">
        <f t="shared" si="31"/>
        <v>-2.2420790746380568E-2</v>
      </c>
      <c r="AE111">
        <f t="shared" si="32"/>
        <v>8.8191590339262854E-2</v>
      </c>
      <c r="AF111">
        <f t="shared" si="33"/>
        <v>0.130211495429611</v>
      </c>
      <c r="AG111">
        <f t="shared" si="34"/>
        <v>0.13018191753950228</v>
      </c>
      <c r="AH111">
        <f t="shared" si="35"/>
        <v>9.4431051463747209E-2</v>
      </c>
      <c r="AI111">
        <f t="shared" si="36"/>
        <v>0.198856533700773</v>
      </c>
      <c r="AJ111">
        <f t="shared" si="25"/>
        <v>0.17859573634377413</v>
      </c>
      <c r="AK111">
        <f t="shared" si="19"/>
        <v>0.17702408064215056</v>
      </c>
      <c r="AL111">
        <f t="shared" si="20"/>
        <v>0.13350825744713679</v>
      </c>
      <c r="AM111">
        <f t="shared" si="21"/>
        <v>0.14525978198531639</v>
      </c>
      <c r="AN111">
        <f t="shared" si="22"/>
        <v>5.8536085662796278E-2</v>
      </c>
    </row>
    <row r="112" spans="1:40">
      <c r="A112" s="37">
        <v>39873</v>
      </c>
      <c r="B112" s="1">
        <v>4.9691019999999995</v>
      </c>
      <c r="C112" s="1">
        <v>5.291328</v>
      </c>
      <c r="D112" s="1">
        <v>17.611115999999999</v>
      </c>
      <c r="E112" s="1">
        <v>18.772672999999998</v>
      </c>
      <c r="F112" s="1">
        <v>12.734767999999999</v>
      </c>
      <c r="G112" s="1">
        <v>5.0994359999999999</v>
      </c>
      <c r="H112" s="1">
        <v>23.664287999999999</v>
      </c>
      <c r="I112" s="1">
        <v>28.891897</v>
      </c>
      <c r="J112" s="1">
        <v>19.025229</v>
      </c>
      <c r="K112" s="1">
        <v>6.5267249999999999</v>
      </c>
      <c r="L112" s="1">
        <v>10.564162999999999</v>
      </c>
      <c r="M112" s="1">
        <v>4.0159250000000002</v>
      </c>
      <c r="N112" s="1">
        <v>9.3409769999999988</v>
      </c>
      <c r="O112" s="1">
        <v>8.8851279999999999</v>
      </c>
      <c r="P112" s="1">
        <v>3.1526589999999999</v>
      </c>
      <c r="Q112" s="1">
        <v>3.6719999999999997</v>
      </c>
      <c r="R112" s="1">
        <v>13.531226</v>
      </c>
      <c r="S112" s="1">
        <v>52.555256</v>
      </c>
      <c r="V112" s="37">
        <v>39873</v>
      </c>
      <c r="W112">
        <f t="shared" si="23"/>
        <v>0.883529458642628</v>
      </c>
      <c r="X112">
        <f t="shared" si="24"/>
        <v>0.31298116465280534</v>
      </c>
      <c r="Y112">
        <f t="shared" si="26"/>
        <v>0.24153466481056626</v>
      </c>
      <c r="Z112">
        <f t="shared" si="27"/>
        <v>0.20553359662739565</v>
      </c>
      <c r="AA112">
        <f t="shared" si="28"/>
        <v>0.26426645542345184</v>
      </c>
      <c r="AB112">
        <f t="shared" si="29"/>
        <v>0.54759153757395918</v>
      </c>
      <c r="AC112">
        <f t="shared" si="30"/>
        <v>0.26510951861302562</v>
      </c>
      <c r="AD112">
        <f t="shared" si="31"/>
        <v>4.9904372841977046E-2</v>
      </c>
      <c r="AE112">
        <f t="shared" si="32"/>
        <v>0.32178088368870617</v>
      </c>
      <c r="AF112">
        <f t="shared" si="33"/>
        <v>-1.9089972382780068E-2</v>
      </c>
      <c r="AG112">
        <f t="shared" si="34"/>
        <v>0.85033059410385847</v>
      </c>
      <c r="AH112">
        <f t="shared" si="35"/>
        <v>0.19026575446503605</v>
      </c>
      <c r="AI112">
        <f t="shared" si="36"/>
        <v>0.40519690820349963</v>
      </c>
      <c r="AJ112">
        <f t="shared" si="25"/>
        <v>0.13996511924195126</v>
      </c>
      <c r="AK112">
        <f t="shared" si="19"/>
        <v>0.19701274384575052</v>
      </c>
      <c r="AL112">
        <f t="shared" si="20"/>
        <v>9.6405228758169967E-2</v>
      </c>
      <c r="AM112">
        <f t="shared" si="21"/>
        <v>0.10288528179190853</v>
      </c>
      <c r="AN112">
        <f t="shared" si="22"/>
        <v>6.5228490181838336E-2</v>
      </c>
    </row>
    <row r="113" spans="1:40">
      <c r="A113" s="37">
        <v>39904</v>
      </c>
      <c r="B113" s="1">
        <v>9.3594499999999989</v>
      </c>
      <c r="C113" s="1">
        <v>6.9474139999999993</v>
      </c>
      <c r="D113" s="1">
        <v>21.864811</v>
      </c>
      <c r="E113" s="1">
        <v>22.631087999999998</v>
      </c>
      <c r="F113" s="1">
        <v>16.10014</v>
      </c>
      <c r="G113" s="1">
        <v>7.8918439999999999</v>
      </c>
      <c r="H113" s="1">
        <v>29.937915999999998</v>
      </c>
      <c r="I113" s="1">
        <v>30.333728999999998</v>
      </c>
      <c r="J113" s="1">
        <v>25.147183999999999</v>
      </c>
      <c r="K113" s="1">
        <v>6.4021299999999997</v>
      </c>
      <c r="L113" s="1">
        <v>19.547193999999998</v>
      </c>
      <c r="M113" s="1">
        <v>4.7800180000000001</v>
      </c>
      <c r="N113" s="1">
        <v>13.125912</v>
      </c>
      <c r="O113" s="1">
        <v>10.128736</v>
      </c>
      <c r="P113" s="1">
        <v>3.7737729999999998</v>
      </c>
      <c r="Q113" s="1">
        <v>4.0259999999999998</v>
      </c>
      <c r="R113" s="1">
        <v>14.923389999999999</v>
      </c>
      <c r="S113" s="1">
        <v>55.983356000000001</v>
      </c>
      <c r="V113" s="37">
        <v>39904</v>
      </c>
      <c r="W113">
        <f t="shared" si="23"/>
        <v>0.20612108617493557</v>
      </c>
      <c r="X113">
        <f t="shared" si="24"/>
        <v>0.26203807632595394</v>
      </c>
      <c r="Y113">
        <f t="shared" si="26"/>
        <v>0.12017236279792215</v>
      </c>
      <c r="Z113">
        <f t="shared" si="27"/>
        <v>0.2196719397671027</v>
      </c>
      <c r="AA113">
        <f t="shared" si="28"/>
        <v>0.23611633190767284</v>
      </c>
      <c r="AB113">
        <f t="shared" si="29"/>
        <v>-0.14619865775349841</v>
      </c>
      <c r="AC113">
        <f t="shared" si="30"/>
        <v>5.3562579305787374E-2</v>
      </c>
      <c r="AD113">
        <f t="shared" si="31"/>
        <v>5.9642419829095142E-2</v>
      </c>
      <c r="AE113">
        <f t="shared" si="32"/>
        <v>-6.1267337130073971E-2</v>
      </c>
      <c r="AF113">
        <f t="shared" si="33"/>
        <v>0.13697659997532066</v>
      </c>
      <c r="AG113">
        <f t="shared" si="34"/>
        <v>-1.4843562712887372E-3</v>
      </c>
      <c r="AH113">
        <f t="shared" si="35"/>
        <v>0.22676525485887281</v>
      </c>
      <c r="AI113">
        <f t="shared" si="36"/>
        <v>0.27436242144545847</v>
      </c>
      <c r="AJ113">
        <f t="shared" si="25"/>
        <v>0.30988585347668263</v>
      </c>
      <c r="AK113">
        <f t="shared" si="19"/>
        <v>7.9312931646921964E-2</v>
      </c>
      <c r="AL113">
        <f t="shared" si="20"/>
        <v>-3.1420765027322418E-2</v>
      </c>
      <c r="AM113">
        <f t="shared" si="21"/>
        <v>3.1095749692261549E-2</v>
      </c>
      <c r="AN113">
        <f t="shared" si="22"/>
        <v>2.9745162115683062E-2</v>
      </c>
    </row>
    <row r="114" spans="1:40">
      <c r="A114" s="37">
        <v>39934</v>
      </c>
      <c r="B114" s="1">
        <v>11.288629999999999</v>
      </c>
      <c r="C114" s="1">
        <v>8.7679010000000002</v>
      </c>
      <c r="D114" s="1">
        <v>24.492356999999998</v>
      </c>
      <c r="E114" s="1">
        <v>27.602502999999999</v>
      </c>
      <c r="F114" s="1">
        <v>19.901646</v>
      </c>
      <c r="G114" s="1">
        <v>6.738067</v>
      </c>
      <c r="H114" s="1">
        <v>31.541467999999998</v>
      </c>
      <c r="I114" s="1">
        <v>32.142905999999996</v>
      </c>
      <c r="J114" s="1">
        <v>23.606482999999997</v>
      </c>
      <c r="K114" s="1">
        <v>7.2790719999999993</v>
      </c>
      <c r="L114" s="1">
        <v>19.518179</v>
      </c>
      <c r="M114" s="1">
        <v>5.8639599999999996</v>
      </c>
      <c r="N114" s="1">
        <v>16.727169</v>
      </c>
      <c r="O114" s="1">
        <v>13.267488</v>
      </c>
      <c r="P114" s="1">
        <v>4.0730819999999994</v>
      </c>
      <c r="Q114" s="1">
        <v>3.8994999999999997</v>
      </c>
      <c r="R114" s="1">
        <v>15.387443999999999</v>
      </c>
      <c r="S114" s="1">
        <v>57.648589999999999</v>
      </c>
      <c r="V114" s="37">
        <v>39934</v>
      </c>
      <c r="W114">
        <f t="shared" si="23"/>
        <v>-4.5054094252358373E-2</v>
      </c>
      <c r="X114">
        <f t="shared" si="24"/>
        <v>0.17125090714413849</v>
      </c>
      <c r="Y114">
        <f t="shared" si="26"/>
        <v>-7.5609954566643031E-2</v>
      </c>
      <c r="Z114">
        <f t="shared" si="27"/>
        <v>-0.20161251318403992</v>
      </c>
      <c r="AA114">
        <f t="shared" si="28"/>
        <v>5.1384493523801929E-2</v>
      </c>
      <c r="AB114">
        <f t="shared" si="29"/>
        <v>6.8488484902271872E-3</v>
      </c>
      <c r="AC114">
        <f t="shared" si="30"/>
        <v>-8.0975178453964111E-2</v>
      </c>
      <c r="AD114">
        <f t="shared" si="31"/>
        <v>-1.6172122085041044E-2</v>
      </c>
      <c r="AE114">
        <f t="shared" si="32"/>
        <v>-5.2100730125703112E-2</v>
      </c>
      <c r="AF114">
        <f t="shared" si="33"/>
        <v>-1.31871205560265E-3</v>
      </c>
      <c r="AG114">
        <f t="shared" si="34"/>
        <v>-6.4788677263386094E-2</v>
      </c>
      <c r="AH114">
        <f t="shared" si="35"/>
        <v>-0.16515136528898552</v>
      </c>
      <c r="AI114">
        <f t="shared" si="36"/>
        <v>-4.6578892100629814E-2</v>
      </c>
      <c r="AJ114">
        <f t="shared" si="25"/>
        <v>1.5713901531322173E-2</v>
      </c>
      <c r="AK114">
        <f t="shared" si="19"/>
        <v>4.8745151705760117E-2</v>
      </c>
      <c r="AL114">
        <f t="shared" si="20"/>
        <v>7.2701628413899239E-2</v>
      </c>
      <c r="AM114">
        <f t="shared" si="21"/>
        <v>0.1450914784807667</v>
      </c>
      <c r="AN114">
        <f t="shared" si="22"/>
        <v>-1.2369322476057071E-2</v>
      </c>
    </row>
    <row r="115" spans="1:40">
      <c r="A115" s="37">
        <v>39965</v>
      </c>
      <c r="B115" s="1">
        <v>10.780030999999999</v>
      </c>
      <c r="C115" s="1">
        <v>10.269411999999999</v>
      </c>
      <c r="D115" s="1">
        <v>22.640490999999997</v>
      </c>
      <c r="E115" s="1">
        <v>22.037492999999998</v>
      </c>
      <c r="F115" s="1">
        <v>20.924281999999998</v>
      </c>
      <c r="G115" s="1">
        <v>6.7842149999999997</v>
      </c>
      <c r="H115" s="1">
        <v>28.987392</v>
      </c>
      <c r="I115" s="1">
        <v>31.623086999999998</v>
      </c>
      <c r="J115" s="1">
        <v>22.376567999999999</v>
      </c>
      <c r="K115" s="1">
        <v>7.2694729999999996</v>
      </c>
      <c r="L115" s="1">
        <v>18.253622</v>
      </c>
      <c r="M115" s="1">
        <v>4.8955190000000002</v>
      </c>
      <c r="N115" s="1">
        <v>15.948036</v>
      </c>
      <c r="O115" s="1">
        <v>13.475971999999999</v>
      </c>
      <c r="P115" s="1">
        <v>4.2716250000000002</v>
      </c>
      <c r="Q115" s="1">
        <v>4.1829999999999998</v>
      </c>
      <c r="R115" s="1">
        <v>17.620031000000001</v>
      </c>
      <c r="S115" s="1">
        <v>56.935516</v>
      </c>
      <c r="V115" s="37">
        <v>39965</v>
      </c>
      <c r="W115">
        <f t="shared" si="23"/>
        <v>0.11388278939086541</v>
      </c>
      <c r="X115">
        <f t="shared" si="24"/>
        <v>0.12143762466633919</v>
      </c>
      <c r="Y115">
        <f t="shared" si="26"/>
        <v>0.13309949859302969</v>
      </c>
      <c r="Z115">
        <f t="shared" si="27"/>
        <v>6.7339374764634058E-2</v>
      </c>
      <c r="AA115">
        <f t="shared" si="28"/>
        <v>0.18884920400136085</v>
      </c>
      <c r="AB115">
        <f t="shared" si="29"/>
        <v>0.18752456990233946</v>
      </c>
      <c r="AC115">
        <f t="shared" si="30"/>
        <v>0.10219698274339405</v>
      </c>
      <c r="AD115">
        <f t="shared" si="31"/>
        <v>8.6301030636256257E-2</v>
      </c>
      <c r="AE115">
        <f t="shared" si="32"/>
        <v>0.19719717518790195</v>
      </c>
      <c r="AF115">
        <f t="shared" si="33"/>
        <v>6.1999542470272603E-2</v>
      </c>
      <c r="AG115">
        <f t="shared" si="34"/>
        <v>0.22823081358866737</v>
      </c>
      <c r="AH115">
        <f t="shared" si="35"/>
        <v>0.42831229947223159</v>
      </c>
      <c r="AI115">
        <f t="shared" si="36"/>
        <v>8.2440245306693236E-3</v>
      </c>
      <c r="AJ115">
        <f t="shared" si="25"/>
        <v>0.13401682639293117</v>
      </c>
      <c r="AK115">
        <f t="shared" si="19"/>
        <v>0.14715968747256591</v>
      </c>
      <c r="AL115">
        <f t="shared" si="20"/>
        <v>2.510160172125258E-2</v>
      </c>
      <c r="AM115">
        <f t="shared" si="21"/>
        <v>-1.0517631892929237E-2</v>
      </c>
      <c r="AN115">
        <f t="shared" si="22"/>
        <v>0.12938175531771753</v>
      </c>
    </row>
    <row r="116" spans="1:40">
      <c r="A116" s="37">
        <v>39995</v>
      </c>
      <c r="B116" s="1">
        <v>12.007690999999999</v>
      </c>
      <c r="C116" s="1">
        <v>11.516504999999999</v>
      </c>
      <c r="D116" s="1">
        <v>25.653928999999998</v>
      </c>
      <c r="E116" s="1">
        <v>23.521483999999997</v>
      </c>
      <c r="F116" s="1">
        <v>24.875816</v>
      </c>
      <c r="G116" s="1">
        <v>8.0564219999999995</v>
      </c>
      <c r="H116" s="1">
        <v>31.949815999999998</v>
      </c>
      <c r="I116" s="1">
        <v>34.352191999999995</v>
      </c>
      <c r="J116" s="1">
        <v>26.789164</v>
      </c>
      <c r="K116" s="1">
        <v>7.7201769999999996</v>
      </c>
      <c r="L116" s="1">
        <v>22.419660999999998</v>
      </c>
      <c r="M116" s="1">
        <v>6.9923299999999999</v>
      </c>
      <c r="N116" s="1">
        <v>16.079511999999998</v>
      </c>
      <c r="O116" s="1">
        <v>15.281979</v>
      </c>
      <c r="P116" s="1">
        <v>4.9002359999999996</v>
      </c>
      <c r="Q116" s="1">
        <v>4.2879999999999994</v>
      </c>
      <c r="R116" s="1">
        <v>17.434709999999999</v>
      </c>
      <c r="S116" s="1">
        <v>64.301932999999991</v>
      </c>
      <c r="V116" s="37">
        <v>39995</v>
      </c>
      <c r="W116">
        <f t="shared" si="23"/>
        <v>0.18987314047305179</v>
      </c>
      <c r="X116">
        <f t="shared" si="24"/>
        <v>0.18931689779147418</v>
      </c>
      <c r="Y116">
        <f t="shared" si="26"/>
        <v>0.1261003723835051</v>
      </c>
      <c r="Z116">
        <f t="shared" si="27"/>
        <v>0.57728704532418107</v>
      </c>
      <c r="AA116">
        <f t="shared" si="28"/>
        <v>-3.771715468549864E-2</v>
      </c>
      <c r="AB116">
        <f t="shared" si="29"/>
        <v>0.11574418519784596</v>
      </c>
      <c r="AC116">
        <f t="shared" si="30"/>
        <v>-3.2003627188337794E-3</v>
      </c>
      <c r="AD116">
        <f t="shared" si="31"/>
        <v>-1.7429455447850298E-2</v>
      </c>
      <c r="AE116">
        <f t="shared" si="32"/>
        <v>1.9426698048509446E-2</v>
      </c>
      <c r="AF116">
        <f t="shared" si="33"/>
        <v>4.8336974657446331E-2</v>
      </c>
      <c r="AG116">
        <f t="shared" si="34"/>
        <v>0.19378749750051982</v>
      </c>
      <c r="AH116">
        <f t="shared" si="35"/>
        <v>-3.3037056317422063E-2</v>
      </c>
      <c r="AI116">
        <f t="shared" si="36"/>
        <v>0.1251023662907183</v>
      </c>
      <c r="AJ116">
        <f t="shared" si="25"/>
        <v>7.4151783613889174E-2</v>
      </c>
      <c r="AK116">
        <f t="shared" si="19"/>
        <v>2.9500007754728514E-2</v>
      </c>
      <c r="AL116">
        <f t="shared" si="20"/>
        <v>-5.3288246268656601E-2</v>
      </c>
      <c r="AM116">
        <f t="shared" si="21"/>
        <v>4.8044733752382433E-2</v>
      </c>
      <c r="AN116">
        <f t="shared" si="22"/>
        <v>1.0171855953382855E-3</v>
      </c>
    </row>
    <row r="117" spans="1:40">
      <c r="A117" s="37">
        <v>40026</v>
      </c>
      <c r="B117" s="1">
        <v>14.287628999999999</v>
      </c>
      <c r="C117" s="1">
        <v>13.696774</v>
      </c>
      <c r="D117" s="1">
        <v>28.888898999999999</v>
      </c>
      <c r="E117" s="1">
        <v>37.100131999999995</v>
      </c>
      <c r="F117" s="1">
        <v>23.937570999999998</v>
      </c>
      <c r="G117" s="1">
        <v>8.9889060000000001</v>
      </c>
      <c r="H117" s="1">
        <v>31.847564999999999</v>
      </c>
      <c r="I117" s="1">
        <v>33.753451999999996</v>
      </c>
      <c r="J117" s="1">
        <v>27.309588999999999</v>
      </c>
      <c r="K117" s="1">
        <v>8.0933469999999996</v>
      </c>
      <c r="L117" s="1">
        <v>26.764310999999999</v>
      </c>
      <c r="M117" s="1">
        <v>6.7613240000000001</v>
      </c>
      <c r="N117" s="1">
        <v>18.091096999999998</v>
      </c>
      <c r="O117" s="1">
        <v>16.415164999999998</v>
      </c>
      <c r="P117" s="1">
        <v>5.0447929999999994</v>
      </c>
      <c r="Q117" s="1">
        <v>4.0594999999999999</v>
      </c>
      <c r="R117" s="1">
        <v>18.272355999999998</v>
      </c>
      <c r="S117" s="1">
        <v>64.367339999999999</v>
      </c>
      <c r="V117" s="37">
        <v>40026</v>
      </c>
      <c r="W117">
        <f t="shared" si="23"/>
        <v>-3.2733282758111854E-2</v>
      </c>
      <c r="X117">
        <f t="shared" si="24"/>
        <v>-3.8089918107723726E-2</v>
      </c>
      <c r="Y117">
        <f t="shared" si="26"/>
        <v>8.2833201777609989E-3</v>
      </c>
      <c r="Z117">
        <f t="shared" si="27"/>
        <v>-3.1999643559219644E-2</v>
      </c>
      <c r="AA117">
        <f t="shared" si="28"/>
        <v>6.3920980119494999E-2</v>
      </c>
      <c r="AB117">
        <f t="shared" si="29"/>
        <v>0.17847978385801344</v>
      </c>
      <c r="AC117">
        <f t="shared" si="30"/>
        <v>-1.5596011814404101E-2</v>
      </c>
      <c r="AD117">
        <f t="shared" si="31"/>
        <v>7.0411998156514582E-2</v>
      </c>
      <c r="AE117">
        <f t="shared" si="32"/>
        <v>4.300039081510898E-2</v>
      </c>
      <c r="AF117">
        <f t="shared" si="33"/>
        <v>9.8426522426379288E-4</v>
      </c>
      <c r="AG117">
        <f t="shared" si="34"/>
        <v>2.3652766551696294E-3</v>
      </c>
      <c r="AH117">
        <f t="shared" si="35"/>
        <v>6.7017199589902807E-2</v>
      </c>
      <c r="AI117">
        <f t="shared" si="36"/>
        <v>2.5914735850457272E-2</v>
      </c>
      <c r="AJ117">
        <f t="shared" si="25"/>
        <v>4.4908838869423567E-2</v>
      </c>
      <c r="AK117">
        <f t="shared" si="19"/>
        <v>0.10189674779520207</v>
      </c>
      <c r="AL117">
        <f t="shared" si="20"/>
        <v>0.14989530730385522</v>
      </c>
      <c r="AM117">
        <f t="shared" si="21"/>
        <v>4.9274324558912966E-2</v>
      </c>
      <c r="AN117">
        <f t="shared" si="22"/>
        <v>1.7941257165512845E-2</v>
      </c>
    </row>
    <row r="118" spans="1:40">
      <c r="A118" s="37">
        <v>40057</v>
      </c>
      <c r="B118" s="1">
        <v>13.819948</v>
      </c>
      <c r="C118" s="1">
        <v>13.175065</v>
      </c>
      <c r="D118" s="1">
        <v>29.128194999999998</v>
      </c>
      <c r="E118" s="1">
        <v>35.912940999999996</v>
      </c>
      <c r="F118" s="1">
        <v>25.467683999999998</v>
      </c>
      <c r="G118" s="1">
        <v>10.593244</v>
      </c>
      <c r="H118" s="1">
        <v>31.350869999999997</v>
      </c>
      <c r="I118" s="1">
        <v>36.130099999999999</v>
      </c>
      <c r="J118" s="1">
        <v>28.483912</v>
      </c>
      <c r="K118" s="1">
        <v>8.1013129999999993</v>
      </c>
      <c r="L118" s="1">
        <v>26.827615999999999</v>
      </c>
      <c r="M118" s="1">
        <v>7.2144490000000001</v>
      </c>
      <c r="N118" s="1">
        <v>18.559922999999998</v>
      </c>
      <c r="O118" s="1">
        <v>17.152350999999999</v>
      </c>
      <c r="P118" s="1">
        <v>5.5588410000000001</v>
      </c>
      <c r="Q118" s="1">
        <v>4.6680000000000001</v>
      </c>
      <c r="R118" s="1">
        <v>19.172713999999999</v>
      </c>
      <c r="S118" s="1">
        <v>65.522171</v>
      </c>
      <c r="V118" s="37">
        <v>40057</v>
      </c>
      <c r="W118">
        <f t="shared" si="23"/>
        <v>-0.11590513944046681</v>
      </c>
      <c r="X118">
        <f t="shared" si="24"/>
        <v>-0.13777366563276919</v>
      </c>
      <c r="Y118">
        <f t="shared" si="26"/>
        <v>-4.6781992499020264E-2</v>
      </c>
      <c r="Z118">
        <f t="shared" si="27"/>
        <v>-0.15495868188573025</v>
      </c>
      <c r="AA118">
        <f t="shared" si="28"/>
        <v>-8.4320859329022599E-2</v>
      </c>
      <c r="AB118">
        <f t="shared" si="29"/>
        <v>-3.639772670203776E-2</v>
      </c>
      <c r="AC118">
        <f t="shared" si="30"/>
        <v>6.8082799616087181E-2</v>
      </c>
      <c r="AD118">
        <f t="shared" si="31"/>
        <v>1.381230608273931E-3</v>
      </c>
      <c r="AE118">
        <f t="shared" si="32"/>
        <v>6.836560933062838E-2</v>
      </c>
      <c r="AF118">
        <f t="shared" si="33"/>
        <v>2.9003446725240713E-2</v>
      </c>
      <c r="AG118">
        <f t="shared" si="34"/>
        <v>3.3200266471683518E-2</v>
      </c>
      <c r="AH118">
        <f t="shared" si="35"/>
        <v>-1.8472928424610211E-2</v>
      </c>
      <c r="AI118">
        <f t="shared" si="36"/>
        <v>-2.3420517423482834E-2</v>
      </c>
      <c r="AJ118">
        <f t="shared" si="25"/>
        <v>-0.11186915426345934</v>
      </c>
      <c r="AK118">
        <f t="shared" si="19"/>
        <v>1.6994909550390031E-2</v>
      </c>
      <c r="AL118">
        <f t="shared" si="20"/>
        <v>0.27260068551842331</v>
      </c>
      <c r="AM118">
        <f t="shared" si="21"/>
        <v>7.8149551492814287E-2</v>
      </c>
      <c r="AN118">
        <f t="shared" si="22"/>
        <v>8.3599183549641042E-3</v>
      </c>
    </row>
    <row r="119" spans="1:40">
      <c r="A119" s="37">
        <v>40087</v>
      </c>
      <c r="B119" s="1">
        <v>12.218145</v>
      </c>
      <c r="C119" s="1">
        <v>11.359888</v>
      </c>
      <c r="D119" s="1">
        <v>27.765519999999999</v>
      </c>
      <c r="E119" s="1">
        <v>30.347918999999997</v>
      </c>
      <c r="F119" s="1">
        <v>23.320226999999999</v>
      </c>
      <c r="G119" s="1">
        <v>10.207673999999999</v>
      </c>
      <c r="H119" s="1">
        <v>33.485324999999996</v>
      </c>
      <c r="I119" s="1">
        <v>36.180003999999997</v>
      </c>
      <c r="J119" s="1">
        <v>30.431231999999998</v>
      </c>
      <c r="K119" s="1">
        <v>8.3362789999999993</v>
      </c>
      <c r="L119" s="1">
        <v>27.718299999999999</v>
      </c>
      <c r="M119" s="1">
        <v>7.0811769999999994</v>
      </c>
      <c r="N119" s="1">
        <v>18.125239999999998</v>
      </c>
      <c r="O119" s="1">
        <v>15.233531999999999</v>
      </c>
      <c r="P119" s="1">
        <v>5.6533129999999998</v>
      </c>
      <c r="Q119" s="1">
        <v>5.9405000000000001</v>
      </c>
      <c r="R119" s="1">
        <v>20.671053000000001</v>
      </c>
      <c r="S119" s="1">
        <v>66.069930999999997</v>
      </c>
      <c r="V119" s="37">
        <v>40087</v>
      </c>
      <c r="W119">
        <f t="shared" si="23"/>
        <v>-5.5980838335115544E-2</v>
      </c>
      <c r="X119">
        <f t="shared" si="24"/>
        <v>8.7105348221743012E-2</v>
      </c>
      <c r="Y119">
        <f t="shared" si="26"/>
        <v>1.8467653406095068E-2</v>
      </c>
      <c r="Z119">
        <f t="shared" si="27"/>
        <v>4.8898904732149924E-3</v>
      </c>
      <c r="AA119">
        <f t="shared" si="28"/>
        <v>0.10286803811986908</v>
      </c>
      <c r="AB119">
        <f t="shared" si="29"/>
        <v>-7.1713007292356704E-2</v>
      </c>
      <c r="AC119">
        <f t="shared" si="30"/>
        <v>0.17475279096141383</v>
      </c>
      <c r="AD119">
        <f t="shared" si="31"/>
        <v>8.3198995776783219E-2</v>
      </c>
      <c r="AE119">
        <f t="shared" si="32"/>
        <v>7.3845712194629459E-2</v>
      </c>
      <c r="AF119">
        <f t="shared" si="33"/>
        <v>6.6940537858677748E-2</v>
      </c>
      <c r="AG119">
        <f t="shared" si="34"/>
        <v>0.20063138792783103</v>
      </c>
      <c r="AH119">
        <f t="shared" si="35"/>
        <v>5.897141110863352E-2</v>
      </c>
      <c r="AI119">
        <f t="shared" si="36"/>
        <v>1.8894977390644281E-2</v>
      </c>
      <c r="AJ119">
        <f t="shared" si="25"/>
        <v>0.11113693134330245</v>
      </c>
      <c r="AK119">
        <f t="shared" si="19"/>
        <v>6.0530701201224828E-2</v>
      </c>
      <c r="AL119">
        <f t="shared" si="20"/>
        <v>0.1439272788485817</v>
      </c>
      <c r="AM119">
        <f t="shared" si="21"/>
        <v>6.0583899620401539E-2</v>
      </c>
      <c r="AN119">
        <f t="shared" si="22"/>
        <v>4.7591437623871573E-2</v>
      </c>
    </row>
    <row r="120" spans="1:40">
      <c r="A120" s="37">
        <v>40118</v>
      </c>
      <c r="B120" s="1">
        <v>11.534162999999999</v>
      </c>
      <c r="C120" s="1">
        <v>12.349394999999999</v>
      </c>
      <c r="D120" s="1">
        <v>28.278283999999999</v>
      </c>
      <c r="E120" s="1">
        <v>30.496316999999998</v>
      </c>
      <c r="F120" s="1">
        <v>25.719132999999999</v>
      </c>
      <c r="G120" s="1">
        <v>9.4756509999999992</v>
      </c>
      <c r="H120" s="1">
        <v>39.336978999999999</v>
      </c>
      <c r="I120" s="1">
        <v>39.190143999999997</v>
      </c>
      <c r="J120" s="1">
        <v>32.678447999999996</v>
      </c>
      <c r="K120" s="1">
        <v>8.8943139999999996</v>
      </c>
      <c r="L120" s="1">
        <v>33.279460999999998</v>
      </c>
      <c r="M120" s="1">
        <v>7.4987639999999995</v>
      </c>
      <c r="N120" s="1">
        <v>18.467715999999999</v>
      </c>
      <c r="O120" s="1">
        <v>16.926539999999999</v>
      </c>
      <c r="P120" s="1">
        <v>5.9955119999999997</v>
      </c>
      <c r="Q120" s="1">
        <v>6.7954999999999997</v>
      </c>
      <c r="R120" s="1">
        <v>21.923386000000001</v>
      </c>
      <c r="S120" s="1">
        <v>69.214293999999995</v>
      </c>
      <c r="V120" s="37">
        <v>40118</v>
      </c>
      <c r="W120">
        <f t="shared" si="23"/>
        <v>-0.10515734865200013</v>
      </c>
      <c r="X120">
        <f t="shared" si="24"/>
        <v>-4.9842198747387975E-2</v>
      </c>
      <c r="Y120">
        <f t="shared" si="26"/>
        <v>-1.9298837227888371E-2</v>
      </c>
      <c r="Z120">
        <f t="shared" si="27"/>
        <v>-0.1946472421571431</v>
      </c>
      <c r="AA120">
        <f t="shared" si="28"/>
        <v>5.223659755560188E-2</v>
      </c>
      <c r="AB120">
        <f t="shared" si="29"/>
        <v>2.7590399857487451E-2</v>
      </c>
      <c r="AC120">
        <f t="shared" si="30"/>
        <v>1.083946990438691E-2</v>
      </c>
      <c r="AD120">
        <f t="shared" si="31"/>
        <v>-2.7586247195213111E-2</v>
      </c>
      <c r="AE120">
        <f t="shared" si="32"/>
        <v>6.0530720430786784E-2</v>
      </c>
      <c r="AF120">
        <f t="shared" si="33"/>
        <v>1.0674909835654577E-2</v>
      </c>
      <c r="AG120">
        <f t="shared" si="34"/>
        <v>-3.1316913456020133E-2</v>
      </c>
      <c r="AH120">
        <f t="shared" si="35"/>
        <v>0.46445467546384989</v>
      </c>
      <c r="AI120">
        <f t="shared" si="36"/>
        <v>-3.5708259754481803E-2</v>
      </c>
      <c r="AJ120">
        <f t="shared" si="25"/>
        <v>-5.0759340065955295E-3</v>
      </c>
      <c r="AK120">
        <f t="shared" si="19"/>
        <v>5.4123651157732704E-2</v>
      </c>
      <c r="AL120">
        <f t="shared" si="20"/>
        <v>-1.0227356338753539E-2</v>
      </c>
      <c r="AM120">
        <f t="shared" si="21"/>
        <v>4.0963289156154908E-2</v>
      </c>
      <c r="AN120">
        <f t="shared" si="22"/>
        <v>4.066057511184043E-2</v>
      </c>
    </row>
    <row r="121" spans="1:40">
      <c r="A121" s="37">
        <v>40148</v>
      </c>
      <c r="B121" s="1">
        <v>10.321261</v>
      </c>
      <c r="C121" s="1">
        <v>11.733874</v>
      </c>
      <c r="D121" s="1">
        <v>27.732545999999999</v>
      </c>
      <c r="E121" s="1">
        <v>24.560292999999998</v>
      </c>
      <c r="F121" s="1">
        <v>27.062612999999999</v>
      </c>
      <c r="G121" s="1">
        <v>9.737088</v>
      </c>
      <c r="H121" s="1">
        <v>39.763370999999999</v>
      </c>
      <c r="I121" s="1">
        <v>38.109034999999999</v>
      </c>
      <c r="J121" s="1">
        <v>34.656497999999999</v>
      </c>
      <c r="K121" s="1">
        <v>8.9892599999999998</v>
      </c>
      <c r="L121" s="1">
        <v>32.237251000000001</v>
      </c>
      <c r="M121" s="1">
        <v>10.9816</v>
      </c>
      <c r="N121" s="1">
        <v>17.808266</v>
      </c>
      <c r="O121" s="1">
        <v>16.840622</v>
      </c>
      <c r="P121" s="1">
        <v>6.320011</v>
      </c>
      <c r="Q121" s="1">
        <v>6.726</v>
      </c>
      <c r="R121" s="1">
        <v>22.821439999999999</v>
      </c>
      <c r="S121" s="1">
        <v>72.028587000000002</v>
      </c>
      <c r="V121" s="37">
        <v>40148</v>
      </c>
      <c r="W121">
        <f t="shared" si="23"/>
        <v>-2.7840687295864433E-2</v>
      </c>
      <c r="X121">
        <f t="shared" si="24"/>
        <v>8.6024445123579468E-3</v>
      </c>
      <c r="Y121">
        <f t="shared" si="26"/>
        <v>-6.5514323856165249E-2</v>
      </c>
      <c r="Z121">
        <f t="shared" si="27"/>
        <v>3.0210551641221325E-3</v>
      </c>
      <c r="AA121">
        <f t="shared" si="28"/>
        <v>-8.2328709352640875E-2</v>
      </c>
      <c r="AB121">
        <f t="shared" si="29"/>
        <v>-4.6555910760999644E-2</v>
      </c>
      <c r="AC121">
        <f t="shared" si="30"/>
        <v>-7.1893275849273464E-2</v>
      </c>
      <c r="AD121">
        <f t="shared" si="31"/>
        <v>1.5174091918097541E-2</v>
      </c>
      <c r="AE121">
        <f t="shared" si="32"/>
        <v>1.6887164998608901E-3</v>
      </c>
      <c r="AF121">
        <f t="shared" si="33"/>
        <v>2.5838278123004588E-2</v>
      </c>
      <c r="AG121">
        <f t="shared" si="34"/>
        <v>-7.0582538194711511E-2</v>
      </c>
      <c r="AH121">
        <f t="shared" si="35"/>
        <v>4.5307423326291257E-2</v>
      </c>
      <c r="AI121">
        <f t="shared" si="36"/>
        <v>5.3353313567980058E-2</v>
      </c>
      <c r="AJ121">
        <f t="shared" si="25"/>
        <v>-5.9949329662526731E-2</v>
      </c>
      <c r="AK121">
        <f t="shared" si="19"/>
        <v>-8.8596681239953512E-2</v>
      </c>
      <c r="AL121">
        <f t="shared" si="20"/>
        <v>-6.7722271781147883E-2</v>
      </c>
      <c r="AM121">
        <f t="shared" si="21"/>
        <v>-7.5459129660529783E-2</v>
      </c>
      <c r="AN121">
        <f t="shared" si="22"/>
        <v>-6.5011701534558888E-2</v>
      </c>
    </row>
    <row r="122" spans="1:40">
      <c r="A122" s="37">
        <v>40179</v>
      </c>
      <c r="B122" s="1">
        <v>10.033909999999999</v>
      </c>
      <c r="C122" s="1">
        <v>11.834814</v>
      </c>
      <c r="D122" s="1">
        <v>25.915666999999999</v>
      </c>
      <c r="E122" s="1">
        <v>24.634491000000001</v>
      </c>
      <c r="F122" s="1">
        <v>24.834582999999999</v>
      </c>
      <c r="G122" s="1">
        <v>9.2837689999999995</v>
      </c>
      <c r="H122" s="1">
        <v>36.904651999999999</v>
      </c>
      <c r="I122" s="1">
        <v>38.687304999999995</v>
      </c>
      <c r="J122" s="1">
        <v>34.715022999999995</v>
      </c>
      <c r="K122" s="1">
        <v>9.221527</v>
      </c>
      <c r="L122" s="1">
        <v>29.961863999999998</v>
      </c>
      <c r="M122" s="1">
        <v>11.479148</v>
      </c>
      <c r="N122" s="1">
        <v>18.758395999999998</v>
      </c>
      <c r="O122" s="1">
        <v>15.831037999999999</v>
      </c>
      <c r="P122" s="1">
        <v>5.7600790000000002</v>
      </c>
      <c r="Q122" s="1">
        <v>6.2704999999999993</v>
      </c>
      <c r="R122" s="1">
        <v>21.099353999999998</v>
      </c>
      <c r="S122" s="1">
        <v>67.345885999999993</v>
      </c>
      <c r="V122" s="37">
        <v>40179</v>
      </c>
      <c r="W122">
        <f t="shared" si="23"/>
        <v>0.12039733264500091</v>
      </c>
      <c r="X122">
        <f t="shared" si="24"/>
        <v>9.7496842789417767E-2</v>
      </c>
      <c r="Y122">
        <f t="shared" si="26"/>
        <v>7.91067426510767E-2</v>
      </c>
      <c r="Z122">
        <f t="shared" si="27"/>
        <v>2.4096337123425834E-2</v>
      </c>
      <c r="AA122">
        <f t="shared" si="28"/>
        <v>0.10589777166783911</v>
      </c>
      <c r="AB122">
        <f t="shared" si="29"/>
        <v>0.20213363774992676</v>
      </c>
      <c r="AC122">
        <f t="shared" si="30"/>
        <v>0.14714719434287041</v>
      </c>
      <c r="AD122">
        <f t="shared" si="31"/>
        <v>3.5489522984348633E-2</v>
      </c>
      <c r="AE122">
        <f t="shared" si="32"/>
        <v>0.11707326248926883</v>
      </c>
      <c r="AF122">
        <f t="shared" si="33"/>
        <v>-5.9485701229308477E-2</v>
      </c>
      <c r="AG122">
        <f t="shared" si="34"/>
        <v>1.8491606530221222E-2</v>
      </c>
      <c r="AH122">
        <f t="shared" si="35"/>
        <v>-0.15325083359845182</v>
      </c>
      <c r="AI122">
        <f t="shared" si="36"/>
        <v>-3.8340271737519527E-2</v>
      </c>
      <c r="AJ122">
        <f t="shared" si="25"/>
        <v>9.3730682725921124E-2</v>
      </c>
      <c r="AK122">
        <f t="shared" si="19"/>
        <v>6.5396151684725082E-2</v>
      </c>
      <c r="AL122">
        <f t="shared" si="20"/>
        <v>-5.5896658958615647E-2</v>
      </c>
      <c r="AM122">
        <f t="shared" si="21"/>
        <v>1.7388115294904281E-2</v>
      </c>
      <c r="AN122">
        <f t="shared" si="22"/>
        <v>3.8974140157573944E-2</v>
      </c>
    </row>
    <row r="123" spans="1:40">
      <c r="A123" s="37">
        <v>40210</v>
      </c>
      <c r="B123" s="1">
        <v>11.241966</v>
      </c>
      <c r="C123" s="1">
        <v>12.988671</v>
      </c>
      <c r="D123" s="1">
        <v>27.965771</v>
      </c>
      <c r="E123" s="1">
        <v>25.228092</v>
      </c>
      <c r="F123" s="1">
        <v>27.464509999999997</v>
      </c>
      <c r="G123" s="1">
        <v>11.160330999999999</v>
      </c>
      <c r="H123" s="1">
        <v>42.335068</v>
      </c>
      <c r="I123" s="1">
        <v>40.060299000000001</v>
      </c>
      <c r="J123" s="1">
        <v>38.779223999999999</v>
      </c>
      <c r="K123" s="1">
        <v>8.6729779999999987</v>
      </c>
      <c r="L123" s="1">
        <v>30.515906999999999</v>
      </c>
      <c r="M123" s="1">
        <v>9.7199589999999993</v>
      </c>
      <c r="N123" s="1">
        <v>18.039193999999998</v>
      </c>
      <c r="O123" s="1">
        <v>17.314892</v>
      </c>
      <c r="P123" s="1">
        <v>6.1367659999999997</v>
      </c>
      <c r="Q123" s="1">
        <v>5.92</v>
      </c>
      <c r="R123" s="1">
        <v>21.466231999999998</v>
      </c>
      <c r="S123" s="1">
        <v>69.97063399999999</v>
      </c>
      <c r="V123" s="37">
        <v>40210</v>
      </c>
      <c r="W123">
        <f t="shared" si="23"/>
        <v>0.14023241130599395</v>
      </c>
      <c r="X123">
        <f t="shared" si="24"/>
        <v>7.1428400950335813E-2</v>
      </c>
      <c r="Y123">
        <f t="shared" si="26"/>
        <v>6.6237687493042749E-2</v>
      </c>
      <c r="Z123">
        <f t="shared" si="27"/>
        <v>0.19117624907979558</v>
      </c>
      <c r="AA123">
        <f t="shared" si="28"/>
        <v>0.14162204241036896</v>
      </c>
      <c r="AB123">
        <f t="shared" si="29"/>
        <v>0.13681484895026863</v>
      </c>
      <c r="AC123">
        <f t="shared" si="30"/>
        <v>3.7696809651988766E-2</v>
      </c>
      <c r="AD123">
        <f t="shared" si="31"/>
        <v>-1.5856097329677174E-4</v>
      </c>
      <c r="AE123">
        <f t="shared" si="32"/>
        <v>2.7949759902364331E-3</v>
      </c>
      <c r="AF123">
        <f t="shared" si="33"/>
        <v>-1.3563507252064885E-2</v>
      </c>
      <c r="AG123">
        <f t="shared" si="34"/>
        <v>8.0387418928757309E-2</v>
      </c>
      <c r="AH123">
        <f t="shared" si="35"/>
        <v>1.7367871613450263E-2</v>
      </c>
      <c r="AI123">
        <f t="shared" si="36"/>
        <v>0.14023952511403776</v>
      </c>
      <c r="AJ123">
        <f t="shared" si="25"/>
        <v>0.16731839852076455</v>
      </c>
      <c r="AK123">
        <f t="shared" si="19"/>
        <v>0.14847070916505534</v>
      </c>
      <c r="AL123">
        <f t="shared" si="20"/>
        <v>0.1467060810810811</v>
      </c>
      <c r="AM123">
        <f t="shared" si="21"/>
        <v>2.640291039433466E-2</v>
      </c>
      <c r="AN123">
        <f t="shared" si="22"/>
        <v>1.3082716958088511E-2</v>
      </c>
    </row>
    <row r="124" spans="1:40">
      <c r="A124" s="37">
        <v>40238</v>
      </c>
      <c r="B124" s="1">
        <v>12.818453999999999</v>
      </c>
      <c r="C124" s="1">
        <v>13.916430999999999</v>
      </c>
      <c r="D124" s="1">
        <v>29.818158999999998</v>
      </c>
      <c r="E124" s="1">
        <v>30.051103999999999</v>
      </c>
      <c r="F124" s="1">
        <v>31.354089999999999</v>
      </c>
      <c r="G124" s="1">
        <v>12.68723</v>
      </c>
      <c r="H124" s="1">
        <v>43.930965</v>
      </c>
      <c r="I124" s="1">
        <v>40.053947000000001</v>
      </c>
      <c r="J124" s="1">
        <v>38.887611</v>
      </c>
      <c r="K124" s="1">
        <v>8.5553419999999996</v>
      </c>
      <c r="L124" s="1">
        <v>32.969001999999996</v>
      </c>
      <c r="M124" s="1">
        <v>9.8887739999999997</v>
      </c>
      <c r="N124" s="1">
        <v>20.569001999999998</v>
      </c>
      <c r="O124" s="1">
        <v>20.211991999999999</v>
      </c>
      <c r="P124" s="1">
        <v>7.0478959999999997</v>
      </c>
      <c r="Q124" s="1">
        <v>6.7885</v>
      </c>
      <c r="R124" s="1">
        <v>22.033002999999997</v>
      </c>
      <c r="S124" s="1">
        <v>70.886039999999994</v>
      </c>
      <c r="V124" s="37">
        <v>40238</v>
      </c>
      <c r="W124">
        <f t="shared" si="23"/>
        <v>-6.1149339850187841E-2</v>
      </c>
      <c r="X124">
        <f t="shared" si="24"/>
        <v>-5.1327815299764964E-4</v>
      </c>
      <c r="Y124">
        <f t="shared" si="26"/>
        <v>-4.8491088936778406E-2</v>
      </c>
      <c r="Z124">
        <f t="shared" si="27"/>
        <v>7.9012671215007685E-2</v>
      </c>
      <c r="AA124">
        <f t="shared" si="28"/>
        <v>2.1251772894700566E-2</v>
      </c>
      <c r="AB124">
        <f t="shared" si="29"/>
        <v>6.8232782096643574E-2</v>
      </c>
      <c r="AC124">
        <f t="shared" si="30"/>
        <v>1.0727467516363342E-2</v>
      </c>
      <c r="AD124">
        <f t="shared" si="31"/>
        <v>-1.754386402918056E-2</v>
      </c>
      <c r="AE124">
        <f t="shared" si="32"/>
        <v>8.8839862135012521E-2</v>
      </c>
      <c r="AF124">
        <f t="shared" si="33"/>
        <v>-2.5072638826127473E-2</v>
      </c>
      <c r="AG124">
        <f t="shared" si="34"/>
        <v>0.12266131076700475</v>
      </c>
      <c r="AH124">
        <f t="shared" si="35"/>
        <v>-0.10871549900928064</v>
      </c>
      <c r="AI124">
        <f t="shared" si="36"/>
        <v>6.3945931844432771E-2</v>
      </c>
      <c r="AJ124">
        <f t="shared" si="25"/>
        <v>-1.608648964436511E-3</v>
      </c>
      <c r="AK124">
        <f t="shared" si="19"/>
        <v>0.11102093447462903</v>
      </c>
      <c r="AL124">
        <f t="shared" si="20"/>
        <v>9.7959784930396355E-3</v>
      </c>
      <c r="AM124">
        <f t="shared" si="21"/>
        <v>4.2676116369611578E-2</v>
      </c>
      <c r="AN124">
        <f t="shared" si="22"/>
        <v>5.8480202872104158E-3</v>
      </c>
    </row>
    <row r="125" spans="1:40">
      <c r="A125" s="37">
        <v>40269</v>
      </c>
      <c r="B125" s="1">
        <v>12.034613999999999</v>
      </c>
      <c r="C125" s="1">
        <v>13.909288</v>
      </c>
      <c r="D125" s="1">
        <v>28.372243999999998</v>
      </c>
      <c r="E125" s="1">
        <v>32.425522000000001</v>
      </c>
      <c r="F125" s="1">
        <v>32.020420000000001</v>
      </c>
      <c r="G125" s="1">
        <v>13.552914999999999</v>
      </c>
      <c r="H125" s="1">
        <v>44.402232999999995</v>
      </c>
      <c r="I125" s="1">
        <v>39.351245999999996</v>
      </c>
      <c r="J125" s="1">
        <v>42.342380999999996</v>
      </c>
      <c r="K125" s="1">
        <v>8.3408370000000005</v>
      </c>
      <c r="L125" s="1">
        <v>37.013022999999997</v>
      </c>
      <c r="M125" s="1">
        <v>8.8137109999999996</v>
      </c>
      <c r="N125" s="1">
        <v>21.884305999999999</v>
      </c>
      <c r="O125" s="1">
        <v>20.179478</v>
      </c>
      <c r="P125" s="1">
        <v>7.8303599999999998</v>
      </c>
      <c r="Q125" s="1">
        <v>6.8549999999999995</v>
      </c>
      <c r="R125" s="1">
        <v>22.973285999999998</v>
      </c>
      <c r="S125" s="1">
        <v>71.300583000000003</v>
      </c>
      <c r="V125" s="37">
        <v>40269</v>
      </c>
      <c r="W125">
        <f t="shared" si="23"/>
        <v>-0.13712064217431494</v>
      </c>
      <c r="X125">
        <f t="shared" si="24"/>
        <v>-0.11721807758959343</v>
      </c>
      <c r="Y125">
        <f t="shared" si="26"/>
        <v>-6.9416010943653184E-2</v>
      </c>
      <c r="Z125">
        <f t="shared" si="27"/>
        <v>-9.382146569606499E-2</v>
      </c>
      <c r="AA125">
        <f t="shared" si="28"/>
        <v>-4.0497095291067521E-2</v>
      </c>
      <c r="AB125">
        <f t="shared" si="29"/>
        <v>-4.2672369744811298E-2</v>
      </c>
      <c r="AC125">
        <f t="shared" si="30"/>
        <v>-3.5774214328364889E-2</v>
      </c>
      <c r="AD125">
        <f t="shared" si="31"/>
        <v>-9.6493767948287439E-3</v>
      </c>
      <c r="AE125">
        <f t="shared" si="32"/>
        <v>-0.10233293210412513</v>
      </c>
      <c r="AF125">
        <f t="shared" si="33"/>
        <v>-8.9114677579720233E-2</v>
      </c>
      <c r="AG125">
        <f t="shared" si="34"/>
        <v>-0.13551576157397355</v>
      </c>
      <c r="AH125">
        <f t="shared" si="35"/>
        <v>-6.4516410851229361E-2</v>
      </c>
      <c r="AI125">
        <f t="shared" si="36"/>
        <v>-0.13349443203727826</v>
      </c>
      <c r="AJ125">
        <f t="shared" si="25"/>
        <v>-7.2975673602657151E-2</v>
      </c>
      <c r="AK125">
        <f t="shared" si="19"/>
        <v>-1.6124290581786806E-2</v>
      </c>
      <c r="AL125">
        <f t="shared" si="20"/>
        <v>-8.4901531728665186E-2</v>
      </c>
      <c r="AM125">
        <f t="shared" si="21"/>
        <v>-0.15520600753414202</v>
      </c>
      <c r="AN125">
        <f t="shared" si="22"/>
        <v>-2.8992315532679541E-2</v>
      </c>
    </row>
    <row r="126" spans="1:40">
      <c r="A126" s="37">
        <v>40299</v>
      </c>
      <c r="B126" s="1">
        <v>10.384419999999999</v>
      </c>
      <c r="C126" s="1">
        <v>12.278867999999999</v>
      </c>
      <c r="D126" s="1">
        <v>26.402756</v>
      </c>
      <c r="E126" s="1">
        <v>29.383312</v>
      </c>
      <c r="F126" s="1">
        <v>30.723685999999997</v>
      </c>
      <c r="G126" s="1">
        <v>12.97458</v>
      </c>
      <c r="H126" s="1">
        <v>42.813777999999999</v>
      </c>
      <c r="I126" s="1">
        <v>38.971530999999999</v>
      </c>
      <c r="J126" s="1">
        <v>38.009360999999998</v>
      </c>
      <c r="K126" s="1">
        <v>7.5975459999999995</v>
      </c>
      <c r="L126" s="1">
        <v>31.997174999999999</v>
      </c>
      <c r="M126" s="1">
        <v>8.245082</v>
      </c>
      <c r="N126" s="1">
        <v>18.962872999999998</v>
      </c>
      <c r="O126" s="1">
        <v>18.706866999999999</v>
      </c>
      <c r="P126" s="1">
        <v>7.7041009999999996</v>
      </c>
      <c r="Q126" s="1">
        <v>6.2729999999999997</v>
      </c>
      <c r="R126" s="1">
        <v>19.407693999999999</v>
      </c>
      <c r="S126" s="1">
        <v>69.233413999999996</v>
      </c>
      <c r="V126" s="37">
        <v>40299</v>
      </c>
      <c r="W126">
        <f t="shared" si="23"/>
        <v>-9.5384335379347124E-2</v>
      </c>
      <c r="X126">
        <f t="shared" si="24"/>
        <v>-8.7039212409482661E-2</v>
      </c>
      <c r="Y126">
        <f t="shared" si="26"/>
        <v>-7.5038113445429724E-2</v>
      </c>
      <c r="Z126">
        <f t="shared" si="27"/>
        <v>-5.0504823962662912E-2</v>
      </c>
      <c r="AA126">
        <f t="shared" si="28"/>
        <v>-7.7341403632363651E-2</v>
      </c>
      <c r="AB126">
        <f t="shared" si="29"/>
        <v>-0.19405684037556517</v>
      </c>
      <c r="AC126">
        <f t="shared" si="30"/>
        <v>-3.4673978082476173E-2</v>
      </c>
      <c r="AD126">
        <f t="shared" si="31"/>
        <v>-1.8170340805959102E-2</v>
      </c>
      <c r="AE126">
        <f t="shared" si="32"/>
        <v>-8.9196974397964826E-2</v>
      </c>
      <c r="AF126">
        <f t="shared" si="33"/>
        <v>-5.3823431934469389E-2</v>
      </c>
      <c r="AG126">
        <f t="shared" si="34"/>
        <v>-4.2641889479305235E-3</v>
      </c>
      <c r="AH126">
        <f t="shared" si="35"/>
        <v>-6.7887984619194805E-2</v>
      </c>
      <c r="AI126">
        <f t="shared" si="36"/>
        <v>-0.10634649085083263</v>
      </c>
      <c r="AJ126">
        <f t="shared" si="25"/>
        <v>-5.1993366927770339E-2</v>
      </c>
      <c r="AK126">
        <f t="shared" si="19"/>
        <v>-2.0827478767477228E-2</v>
      </c>
      <c r="AL126">
        <f t="shared" si="20"/>
        <v>-0.12912482065997125</v>
      </c>
      <c r="AM126">
        <f t="shared" si="21"/>
        <v>-0.1041154090743599</v>
      </c>
      <c r="AN126">
        <f t="shared" si="22"/>
        <v>-9.1572546169686533E-3</v>
      </c>
    </row>
    <row r="127" spans="1:40">
      <c r="A127" s="37">
        <v>40330</v>
      </c>
      <c r="B127" s="1">
        <v>9.393908999999999</v>
      </c>
      <c r="C127" s="1">
        <v>11.210125</v>
      </c>
      <c r="D127" s="1">
        <v>24.421543</v>
      </c>
      <c r="E127" s="1">
        <v>27.899312999999999</v>
      </c>
      <c r="F127" s="1">
        <v>28.347472999999997</v>
      </c>
      <c r="G127" s="1">
        <v>10.456773999999999</v>
      </c>
      <c r="H127" s="1">
        <v>41.329253999999999</v>
      </c>
      <c r="I127" s="1">
        <v>38.263404999999999</v>
      </c>
      <c r="J127" s="1">
        <v>34.619040999999996</v>
      </c>
      <c r="K127" s="1">
        <v>7.1886199999999993</v>
      </c>
      <c r="L127" s="1">
        <v>31.860733</v>
      </c>
      <c r="M127" s="1">
        <v>7.6853400000000001</v>
      </c>
      <c r="N127" s="1">
        <v>16.946237999999997</v>
      </c>
      <c r="O127" s="1">
        <v>17.734234000000001</v>
      </c>
      <c r="P127" s="1">
        <v>7.5436439999999996</v>
      </c>
      <c r="Q127" s="1">
        <v>5.4630000000000001</v>
      </c>
      <c r="R127" s="1">
        <v>17.387053999999999</v>
      </c>
      <c r="S127" s="1">
        <v>68.599425999999994</v>
      </c>
      <c r="V127" s="37">
        <v>40330</v>
      </c>
      <c r="W127">
        <f t="shared" si="23"/>
        <v>0.31340478175805198</v>
      </c>
      <c r="X127">
        <f t="shared" si="24"/>
        <v>-2.2331419141178113E-2</v>
      </c>
      <c r="Y127">
        <f t="shared" si="26"/>
        <v>0.10024563149019691</v>
      </c>
      <c r="Z127">
        <f t="shared" si="27"/>
        <v>9.042530903897171E-2</v>
      </c>
      <c r="AA127">
        <f t="shared" si="28"/>
        <v>0.1249079591680007</v>
      </c>
      <c r="AB127">
        <f t="shared" si="29"/>
        <v>4.4347616195970149E-2</v>
      </c>
      <c r="AC127">
        <f t="shared" si="30"/>
        <v>0.20360164255565805</v>
      </c>
      <c r="AD127">
        <f t="shared" si="31"/>
        <v>1.9673053143074958E-2</v>
      </c>
      <c r="AE127">
        <f t="shared" si="32"/>
        <v>0.14845656758660664</v>
      </c>
      <c r="AF127">
        <f t="shared" si="33"/>
        <v>5.1893548414021058E-2</v>
      </c>
      <c r="AG127">
        <f t="shared" si="34"/>
        <v>0.12950430236492047</v>
      </c>
      <c r="AH127">
        <f t="shared" si="35"/>
        <v>1.0404744617674622E-2</v>
      </c>
      <c r="AI127">
        <f t="shared" si="36"/>
        <v>8.3202950412947202E-2</v>
      </c>
      <c r="AJ127">
        <f t="shared" si="25"/>
        <v>9.6749089924041839E-2</v>
      </c>
      <c r="AK127">
        <f t="shared" si="19"/>
        <v>2.2741264036319868E-2</v>
      </c>
      <c r="AL127">
        <f t="shared" si="20"/>
        <v>7.8985905180303823E-2</v>
      </c>
      <c r="AM127">
        <f t="shared" si="21"/>
        <v>0.12168657208978581</v>
      </c>
      <c r="AN127">
        <f t="shared" si="22"/>
        <v>3.984435671517135E-2</v>
      </c>
    </row>
    <row r="128" spans="1:40">
      <c r="A128" s="37">
        <v>40360</v>
      </c>
      <c r="B128" s="1">
        <v>12.338004999999999</v>
      </c>
      <c r="C128" s="1">
        <v>10.959787</v>
      </c>
      <c r="D128" s="1">
        <v>26.869695999999998</v>
      </c>
      <c r="E128" s="1">
        <v>30.422117</v>
      </c>
      <c r="F128" s="1">
        <v>31.888297999999999</v>
      </c>
      <c r="G128" s="1">
        <v>10.920506999999999</v>
      </c>
      <c r="H128" s="1">
        <v>49.743957999999999</v>
      </c>
      <c r="I128" s="1">
        <v>39.016162999999999</v>
      </c>
      <c r="J128" s="1">
        <v>39.758465000000001</v>
      </c>
      <c r="K128" s="1">
        <v>7.5616629999999994</v>
      </c>
      <c r="L128" s="1">
        <v>35.986834999999999</v>
      </c>
      <c r="M128" s="1">
        <v>7.7653039999999995</v>
      </c>
      <c r="N128" s="1">
        <v>18.356214999999999</v>
      </c>
      <c r="O128" s="1">
        <v>19.450005000000001</v>
      </c>
      <c r="P128" s="1">
        <v>7.7151959999999997</v>
      </c>
      <c r="Q128" s="1">
        <v>5.8944999999999999</v>
      </c>
      <c r="R128" s="1">
        <v>19.502824999999998</v>
      </c>
      <c r="S128" s="1">
        <v>71.332725999999994</v>
      </c>
      <c r="V128" s="37">
        <v>40360</v>
      </c>
      <c r="W128">
        <f t="shared" si="23"/>
        <v>-0.11212274593826153</v>
      </c>
      <c r="X128">
        <f t="shared" si="24"/>
        <v>-0.11253530748362177</v>
      </c>
      <c r="Y128">
        <f t="shared" si="26"/>
        <v>-9.6084116470837533E-2</v>
      </c>
      <c r="Z128">
        <f t="shared" si="27"/>
        <v>-9.5121782616245987E-2</v>
      </c>
      <c r="AA128">
        <f t="shared" si="28"/>
        <v>-8.5450311584519226E-2</v>
      </c>
      <c r="AB128">
        <f t="shared" si="29"/>
        <v>4.0750580536233351E-2</v>
      </c>
      <c r="AC128">
        <f t="shared" si="30"/>
        <v>-5.1139798726912801E-2</v>
      </c>
      <c r="AD128">
        <f t="shared" si="31"/>
        <v>-1.6726375681791215E-2</v>
      </c>
      <c r="AE128">
        <f t="shared" si="32"/>
        <v>-7.5491219291288061E-2</v>
      </c>
      <c r="AF128">
        <f t="shared" si="33"/>
        <v>6.0667078128184393E-2</v>
      </c>
      <c r="AG128">
        <f t="shared" si="34"/>
        <v>-0.10685440939721425</v>
      </c>
      <c r="AH128">
        <f t="shared" si="35"/>
        <v>-0.17848959937692077</v>
      </c>
      <c r="AI128">
        <f t="shared" si="36"/>
        <v>-0.15073930001364655</v>
      </c>
      <c r="AJ128">
        <f t="shared" si="25"/>
        <v>-4.3113150870655433E-2</v>
      </c>
      <c r="AK128">
        <f t="shared" si="19"/>
        <v>-5.5004565016883541E-2</v>
      </c>
      <c r="AL128">
        <f t="shared" si="20"/>
        <v>5.8868436678259313E-2</v>
      </c>
      <c r="AM128">
        <f t="shared" si="21"/>
        <v>-9.066235276171529E-2</v>
      </c>
      <c r="AN128">
        <f t="shared" si="22"/>
        <v>-4.1043896177471222E-2</v>
      </c>
    </row>
    <row r="129" spans="1:40">
      <c r="A129" s="37">
        <v>40391</v>
      </c>
      <c r="B129" s="1">
        <v>10.954633999999999</v>
      </c>
      <c r="C129" s="1">
        <v>9.7264239999999997</v>
      </c>
      <c r="D129" s="1">
        <v>24.287945000000001</v>
      </c>
      <c r="E129" s="1">
        <v>27.528310999999999</v>
      </c>
      <c r="F129" s="1">
        <v>29.163432999999998</v>
      </c>
      <c r="G129" s="1">
        <v>11.365523999999999</v>
      </c>
      <c r="H129" s="1">
        <v>47.200061999999996</v>
      </c>
      <c r="I129" s="1">
        <v>38.363563999999997</v>
      </c>
      <c r="J129" s="1">
        <v>36.75705</v>
      </c>
      <c r="K129" s="1">
        <v>8.0204070000000005</v>
      </c>
      <c r="L129" s="1">
        <v>32.141483000000001</v>
      </c>
      <c r="M129" s="1">
        <v>6.3792779999999993</v>
      </c>
      <c r="N129" s="1">
        <v>15.589212</v>
      </c>
      <c r="O129" s="1">
        <v>18.611453999999998</v>
      </c>
      <c r="P129" s="1">
        <v>7.2908249999999999</v>
      </c>
      <c r="Q129" s="1">
        <v>6.2414999999999994</v>
      </c>
      <c r="R129" s="1">
        <v>17.734652999999998</v>
      </c>
      <c r="S129" s="1">
        <v>68.404952999999992</v>
      </c>
      <c r="V129" s="37">
        <v>40391</v>
      </c>
      <c r="W129">
        <f t="shared" si="23"/>
        <v>2.0336690390569075E-2</v>
      </c>
      <c r="X129">
        <f t="shared" si="24"/>
        <v>5.1363892834612186E-2</v>
      </c>
      <c r="Y129">
        <f t="shared" si="26"/>
        <v>4.6754470170283974E-2</v>
      </c>
      <c r="Z129">
        <f t="shared" si="27"/>
        <v>5.3907557205380291E-2</v>
      </c>
      <c r="AA129">
        <f t="shared" si="28"/>
        <v>4.5816313874981751E-2</v>
      </c>
      <c r="AB129">
        <f t="shared" si="29"/>
        <v>0.18907812785402597</v>
      </c>
      <c r="AC129">
        <f t="shared" si="30"/>
        <v>0.10289219535347224</v>
      </c>
      <c r="AD129">
        <f t="shared" si="31"/>
        <v>5.0278436070225769E-3</v>
      </c>
      <c r="AE129">
        <f t="shared" si="32"/>
        <v>0.1424307989895815</v>
      </c>
      <c r="AF129">
        <f t="shared" si="33"/>
        <v>9.1215944527503354E-2</v>
      </c>
      <c r="AG129">
        <f t="shared" si="34"/>
        <v>5.4176404990398191E-2</v>
      </c>
      <c r="AH129">
        <f t="shared" si="35"/>
        <v>7.799424950597858E-2</v>
      </c>
      <c r="AI129">
        <f t="shared" si="36"/>
        <v>6.8567224565295404E-2</v>
      </c>
      <c r="AJ129">
        <f t="shared" si="25"/>
        <v>7.0360166379263095E-2</v>
      </c>
      <c r="AK129">
        <f t="shared" si="19"/>
        <v>0.16721454705057384</v>
      </c>
      <c r="AL129">
        <f t="shared" si="20"/>
        <v>0.25819113995033255</v>
      </c>
      <c r="AM129">
        <f t="shared" si="21"/>
        <v>4.9025825314992048E-2</v>
      </c>
      <c r="AN129">
        <f t="shared" si="22"/>
        <v>9.4816248174309822E-2</v>
      </c>
    </row>
    <row r="130" spans="1:40">
      <c r="A130" s="37">
        <v>40422</v>
      </c>
      <c r="B130" s="1">
        <v>11.177415</v>
      </c>
      <c r="C130" s="1">
        <v>10.226011</v>
      </c>
      <c r="D130" s="1">
        <v>25.423514999999998</v>
      </c>
      <c r="E130" s="1">
        <v>29.012294999999998</v>
      </c>
      <c r="F130" s="1">
        <v>30.499593999999998</v>
      </c>
      <c r="G130" s="1">
        <v>13.514495999999999</v>
      </c>
      <c r="H130" s="1">
        <v>52.056579999999997</v>
      </c>
      <c r="I130" s="1">
        <v>38.556449999999998</v>
      </c>
      <c r="J130" s="1">
        <v>41.992385999999996</v>
      </c>
      <c r="K130" s="1">
        <v>8.7519960000000001</v>
      </c>
      <c r="L130" s="1">
        <v>33.882792999999999</v>
      </c>
      <c r="M130" s="1">
        <v>6.8768249999999993</v>
      </c>
      <c r="N130" s="1">
        <v>16.658120999999998</v>
      </c>
      <c r="O130" s="1">
        <v>19.920959</v>
      </c>
      <c r="P130" s="1">
        <v>8.509957</v>
      </c>
      <c r="Q130" s="1">
        <v>7.8529999999999998</v>
      </c>
      <c r="R130" s="1">
        <v>18.604108999999998</v>
      </c>
      <c r="S130" s="1">
        <v>74.89085399999999</v>
      </c>
      <c r="V130" s="37">
        <v>40422</v>
      </c>
      <c r="W130">
        <f t="shared" si="23"/>
        <v>-6.3660962753910477E-2</v>
      </c>
      <c r="X130">
        <f t="shared" si="24"/>
        <v>-0.12525206554149029</v>
      </c>
      <c r="Y130">
        <f t="shared" si="26"/>
        <v>-1.1298083683550489E-2</v>
      </c>
      <c r="Z130">
        <f t="shared" si="27"/>
        <v>6.6496842114696544E-2</v>
      </c>
      <c r="AA130">
        <f t="shared" si="28"/>
        <v>2.5974312969543143E-2</v>
      </c>
      <c r="AB130">
        <f t="shared" si="29"/>
        <v>2.803441578583472E-2</v>
      </c>
      <c r="AC130">
        <f t="shared" si="30"/>
        <v>0.10520132133152048</v>
      </c>
      <c r="AD130">
        <f t="shared" si="31"/>
        <v>6.0029515165426366E-2</v>
      </c>
      <c r="AE130">
        <f t="shared" si="32"/>
        <v>1.7710496374271353E-2</v>
      </c>
      <c r="AF130">
        <f t="shared" si="33"/>
        <v>1.4560221462624026E-2</v>
      </c>
      <c r="AG130">
        <f t="shared" si="34"/>
        <v>-1.3561868999406238E-2</v>
      </c>
      <c r="AH130">
        <f t="shared" si="35"/>
        <v>-9.0437083974071741E-3</v>
      </c>
      <c r="AI130">
        <f t="shared" si="36"/>
        <v>3.7419886672692589E-2</v>
      </c>
      <c r="AJ130">
        <f t="shared" si="25"/>
        <v>-8.3058250358337298E-4</v>
      </c>
      <c r="AK130">
        <f t="shared" ref="AK130:AK193" si="37">(P131-P130)/P130</f>
        <v>6.0722515989211169E-2</v>
      </c>
      <c r="AL130">
        <f t="shared" ref="AL130:AL193" si="38">(Q131-Q130)/Q130</f>
        <v>5.2018336941296331E-2</v>
      </c>
      <c r="AM130">
        <f t="shared" ref="AM130:AM193" si="39">(R131-R130)/R130</f>
        <v>8.9016087790068407E-2</v>
      </c>
      <c r="AN130">
        <f t="shared" ref="AN130:AN193" si="40">(S131-S130)/S130</f>
        <v>7.0523364575332689E-2</v>
      </c>
    </row>
    <row r="131" spans="1:40">
      <c r="A131" s="37">
        <v>40452</v>
      </c>
      <c r="B131" s="1">
        <v>10.46585</v>
      </c>
      <c r="C131" s="1">
        <v>8.9451819999999991</v>
      </c>
      <c r="D131" s="1">
        <v>25.136277999999997</v>
      </c>
      <c r="E131" s="1">
        <v>30.941520999999998</v>
      </c>
      <c r="F131" s="1">
        <v>31.291799999999999</v>
      </c>
      <c r="G131" s="1">
        <v>13.893367</v>
      </c>
      <c r="H131" s="1">
        <v>57.533000999999999</v>
      </c>
      <c r="I131" s="1">
        <v>40.870975000000001</v>
      </c>
      <c r="J131" s="1">
        <v>42.736091999999999</v>
      </c>
      <c r="K131" s="1">
        <v>8.8794269999999997</v>
      </c>
      <c r="L131" s="1">
        <v>33.423279000000001</v>
      </c>
      <c r="M131" s="1">
        <v>6.8146329999999997</v>
      </c>
      <c r="N131" s="1">
        <v>17.281465999999998</v>
      </c>
      <c r="O131" s="1">
        <v>19.904412999999998</v>
      </c>
      <c r="P131" s="1">
        <v>9.0267029999999995</v>
      </c>
      <c r="Q131" s="1">
        <v>8.2614999999999998</v>
      </c>
      <c r="R131" s="1">
        <v>20.260173999999999</v>
      </c>
      <c r="S131" s="1">
        <v>80.172409000000002</v>
      </c>
      <c r="V131" s="37">
        <v>40452</v>
      </c>
      <c r="W131">
        <f t="shared" ref="W131:W194" si="41">(B132-B131)/B131</f>
        <v>-8.5551961856896508E-2</v>
      </c>
      <c r="X131">
        <f t="shared" ref="X131:X194" si="42">(C132-C131)/C131</f>
        <v>-4.3668647546802178E-2</v>
      </c>
      <c r="Y131">
        <f t="shared" si="26"/>
        <v>-4.8297126567425283E-3</v>
      </c>
      <c r="Z131">
        <f t="shared" si="27"/>
        <v>7.1941195133878649E-3</v>
      </c>
      <c r="AA131">
        <f t="shared" si="28"/>
        <v>2.9974945512881517E-3</v>
      </c>
      <c r="AB131">
        <f t="shared" si="29"/>
        <v>8.4917788466971275E-2</v>
      </c>
      <c r="AC131">
        <f t="shared" si="30"/>
        <v>-2.7344236745098748E-2</v>
      </c>
      <c r="AD131">
        <f t="shared" si="31"/>
        <v>-3.1941224793389497E-2</v>
      </c>
      <c r="AE131">
        <f t="shared" si="32"/>
        <v>-3.9373721864881805E-2</v>
      </c>
      <c r="AF131">
        <f t="shared" si="33"/>
        <v>-6.4293788326656734E-2</v>
      </c>
      <c r="AG131">
        <f t="shared" si="34"/>
        <v>4.737521414341167E-2</v>
      </c>
      <c r="AH131">
        <f t="shared" si="35"/>
        <v>0.17209862952267568</v>
      </c>
      <c r="AI131">
        <f t="shared" si="36"/>
        <v>4.4129068679705778E-2</v>
      </c>
      <c r="AJ131">
        <f t="shared" ref="AJ131:AJ194" si="43">(O132-O131)/O131</f>
        <v>1.6485037765243318E-2</v>
      </c>
      <c r="AK131">
        <f t="shared" si="37"/>
        <v>3.3789413476880741E-2</v>
      </c>
      <c r="AL131">
        <f t="shared" si="38"/>
        <v>6.1550565877867183E-2</v>
      </c>
      <c r="AM131">
        <f t="shared" si="39"/>
        <v>-5.2868400834069837E-2</v>
      </c>
      <c r="AN131">
        <f t="shared" si="40"/>
        <v>-1.4902520890946446E-2</v>
      </c>
    </row>
    <row r="132" spans="1:40">
      <c r="A132" s="37">
        <v>40483</v>
      </c>
      <c r="B132" s="1">
        <v>9.5704759999999993</v>
      </c>
      <c r="C132" s="1">
        <v>8.5545580000000001</v>
      </c>
      <c r="D132" s="1">
        <v>25.014876999999998</v>
      </c>
      <c r="E132" s="1">
        <v>31.164117999999998</v>
      </c>
      <c r="F132" s="1">
        <v>31.385596999999997</v>
      </c>
      <c r="G132" s="1">
        <v>15.073160999999999</v>
      </c>
      <c r="H132" s="1">
        <v>55.959804999999996</v>
      </c>
      <c r="I132" s="1">
        <v>39.565505999999999</v>
      </c>
      <c r="J132" s="1">
        <v>41.053412999999999</v>
      </c>
      <c r="K132" s="1">
        <v>8.3085349999999991</v>
      </c>
      <c r="L132" s="1">
        <v>35.006713999999995</v>
      </c>
      <c r="M132" s="1">
        <v>7.9874219999999996</v>
      </c>
      <c r="N132" s="1">
        <v>18.044080999999998</v>
      </c>
      <c r="O132" s="1">
        <v>20.232537999999998</v>
      </c>
      <c r="P132" s="1">
        <v>9.3317099999999993</v>
      </c>
      <c r="Q132" s="1">
        <v>8.77</v>
      </c>
      <c r="R132" s="1">
        <v>19.189050999999999</v>
      </c>
      <c r="S132" s="1">
        <v>78.977637999999999</v>
      </c>
      <c r="V132" s="37">
        <v>40483</v>
      </c>
      <c r="W132">
        <f t="shared" si="41"/>
        <v>2.7366245942208104E-2</v>
      </c>
      <c r="X132">
        <f t="shared" si="42"/>
        <v>0.21826528033359521</v>
      </c>
      <c r="Y132">
        <f t="shared" si="26"/>
        <v>0.13422432578820995</v>
      </c>
      <c r="Z132">
        <f t="shared" si="27"/>
        <v>0.12618987002937163</v>
      </c>
      <c r="AA132">
        <f t="shared" si="28"/>
        <v>-2.0085391397843953E-2</v>
      </c>
      <c r="AB132">
        <f t="shared" si="29"/>
        <v>-1.4797825087916123E-2</v>
      </c>
      <c r="AC132">
        <f t="shared" si="30"/>
        <v>0.11178028586768668</v>
      </c>
      <c r="AD132">
        <f t="shared" si="31"/>
        <v>5.3381549069535489E-2</v>
      </c>
      <c r="AE132">
        <f t="shared" si="32"/>
        <v>0.12329927355857109</v>
      </c>
      <c r="AF132">
        <f t="shared" si="33"/>
        <v>8.5339352846199701E-2</v>
      </c>
      <c r="AG132">
        <f t="shared" si="34"/>
        <v>-6.9410970706932787E-3</v>
      </c>
      <c r="AH132">
        <f t="shared" si="35"/>
        <v>9.0100410370204539E-2</v>
      </c>
      <c r="AI132">
        <f t="shared" si="36"/>
        <v>0.14111619206320347</v>
      </c>
      <c r="AJ132">
        <f t="shared" si="43"/>
        <v>2.0883094350298524E-2</v>
      </c>
      <c r="AK132">
        <f t="shared" si="37"/>
        <v>3.6670556628956623E-2</v>
      </c>
      <c r="AL132">
        <f t="shared" si="38"/>
        <v>2.6225769669327301E-2</v>
      </c>
      <c r="AM132">
        <f t="shared" si="39"/>
        <v>0.11169739451940595</v>
      </c>
      <c r="AN132">
        <f t="shared" si="40"/>
        <v>4.2076429279893177E-2</v>
      </c>
    </row>
    <row r="133" spans="1:40">
      <c r="A133" s="37">
        <v>40513</v>
      </c>
      <c r="B133" s="1">
        <v>9.8323839999999993</v>
      </c>
      <c r="C133" s="1">
        <v>10.421721</v>
      </c>
      <c r="D133" s="1">
        <v>28.372481999999998</v>
      </c>
      <c r="E133" s="1">
        <v>35.096713999999999</v>
      </c>
      <c r="F133" s="1">
        <v>30.755205</v>
      </c>
      <c r="G133" s="1">
        <v>14.850111</v>
      </c>
      <c r="H133" s="1">
        <v>62.215007999999997</v>
      </c>
      <c r="I133" s="1">
        <v>41.677574</v>
      </c>
      <c r="J133" s="1">
        <v>46.115268999999998</v>
      </c>
      <c r="K133" s="1">
        <v>9.0175799999999988</v>
      </c>
      <c r="L133" s="1">
        <v>34.763728999999998</v>
      </c>
      <c r="M133" s="1">
        <v>8.7070919999999994</v>
      </c>
      <c r="N133" s="1">
        <v>20.590392999999999</v>
      </c>
      <c r="O133" s="1">
        <v>20.655055999999998</v>
      </c>
      <c r="P133" s="1">
        <v>9.6739090000000001</v>
      </c>
      <c r="Q133" s="1">
        <v>9</v>
      </c>
      <c r="R133" s="1">
        <v>21.332418000000001</v>
      </c>
      <c r="S133" s="1">
        <v>82.300735000000003</v>
      </c>
      <c r="V133" s="37">
        <v>40513</v>
      </c>
      <c r="W133">
        <f t="shared" si="41"/>
        <v>0.13801495140954623</v>
      </c>
      <c r="X133">
        <f t="shared" si="42"/>
        <v>3.017668578922815E-2</v>
      </c>
      <c r="Y133">
        <f t="shared" si="26"/>
        <v>5.9406082273662175E-2</v>
      </c>
      <c r="Z133">
        <f t="shared" si="27"/>
        <v>1.9027878222445612E-2</v>
      </c>
      <c r="AA133">
        <f t="shared" si="28"/>
        <v>2.4313282906096691E-3</v>
      </c>
      <c r="AB133">
        <f t="shared" si="29"/>
        <v>-8.3181735139892216E-2</v>
      </c>
      <c r="AC133">
        <f t="shared" si="30"/>
        <v>9.9126130466783716E-2</v>
      </c>
      <c r="AD133">
        <f t="shared" si="31"/>
        <v>-1.8653916852262125E-2</v>
      </c>
      <c r="AE133">
        <f t="shared" si="32"/>
        <v>9.3128265173949218E-2</v>
      </c>
      <c r="AF133">
        <f t="shared" si="33"/>
        <v>4.0548683793212983E-2</v>
      </c>
      <c r="AG133">
        <f t="shared" si="34"/>
        <v>1.0717549892303018E-2</v>
      </c>
      <c r="AH133">
        <f t="shared" si="35"/>
        <v>3.163271962671358E-2</v>
      </c>
      <c r="AI133">
        <f t="shared" si="36"/>
        <v>4.6143898273335503E-2</v>
      </c>
      <c r="AJ133">
        <f t="shared" si="43"/>
        <v>7.804723453666792E-3</v>
      </c>
      <c r="AK133">
        <f t="shared" si="37"/>
        <v>5.1959657673025315E-2</v>
      </c>
      <c r="AL133">
        <f t="shared" si="38"/>
        <v>-5.7555555555555631E-2</v>
      </c>
      <c r="AM133">
        <f t="shared" si="39"/>
        <v>-6.4490110778817134E-3</v>
      </c>
      <c r="AN133">
        <f t="shared" si="40"/>
        <v>0.10384310662596144</v>
      </c>
    </row>
    <row r="134" spans="1:40">
      <c r="A134" s="37">
        <v>40544</v>
      </c>
      <c r="B134" s="1">
        <v>11.189399999999999</v>
      </c>
      <c r="C134" s="1">
        <v>10.736214</v>
      </c>
      <c r="D134" s="1">
        <v>30.057979999999997</v>
      </c>
      <c r="E134" s="1">
        <v>35.764530000000001</v>
      </c>
      <c r="F134" s="1">
        <v>30.829981</v>
      </c>
      <c r="G134" s="1">
        <v>13.614853</v>
      </c>
      <c r="H134" s="1">
        <v>68.38214099999999</v>
      </c>
      <c r="I134" s="1">
        <v>40.900123999999998</v>
      </c>
      <c r="J134" s="1">
        <v>50.409903999999997</v>
      </c>
      <c r="K134" s="1">
        <v>9.3832310000000003</v>
      </c>
      <c r="L134" s="1">
        <v>35.136310999999999</v>
      </c>
      <c r="M134" s="1">
        <v>8.9825210000000002</v>
      </c>
      <c r="N134" s="1">
        <v>21.540513999999998</v>
      </c>
      <c r="O134" s="1">
        <v>20.816262999999999</v>
      </c>
      <c r="P134" s="1">
        <v>10.176561999999999</v>
      </c>
      <c r="Q134" s="1">
        <v>8.4819999999999993</v>
      </c>
      <c r="R134" s="1">
        <v>21.194844999999997</v>
      </c>
      <c r="S134" s="1">
        <v>90.847099</v>
      </c>
      <c r="V134" s="37">
        <v>40544</v>
      </c>
      <c r="W134">
        <f t="shared" si="41"/>
        <v>0.104786673101328</v>
      </c>
      <c r="X134">
        <f t="shared" si="42"/>
        <v>4.0786258545144449E-2</v>
      </c>
      <c r="Y134">
        <f t="shared" si="26"/>
        <v>4.0133967751658631E-2</v>
      </c>
      <c r="Z134">
        <f t="shared" si="27"/>
        <v>-2.9045285929942412E-2</v>
      </c>
      <c r="AA134">
        <f t="shared" si="28"/>
        <v>0.11922310299185708</v>
      </c>
      <c r="AB134">
        <f t="shared" si="29"/>
        <v>3.2397191508420915E-2</v>
      </c>
      <c r="AC134">
        <f t="shared" si="30"/>
        <v>-8.2507068621907754E-3</v>
      </c>
      <c r="AD134">
        <f t="shared" si="31"/>
        <v>6.1367784606228383E-3</v>
      </c>
      <c r="AE134">
        <f t="shared" si="32"/>
        <v>4.3340828421335603E-2</v>
      </c>
      <c r="AF134">
        <f t="shared" si="33"/>
        <v>5.5981995967060653E-2</v>
      </c>
      <c r="AG134">
        <f t="shared" si="34"/>
        <v>8.5104551812510369E-3</v>
      </c>
      <c r="AH134">
        <f t="shared" si="35"/>
        <v>2.8684820219178984E-2</v>
      </c>
      <c r="AI134">
        <f t="shared" si="36"/>
        <v>-4.9352582765665913E-3</v>
      </c>
      <c r="AJ134">
        <f t="shared" si="43"/>
        <v>0.1269857130456124</v>
      </c>
      <c r="AK134">
        <f t="shared" si="37"/>
        <v>4.0934649639043197E-2</v>
      </c>
      <c r="AL134">
        <f t="shared" si="38"/>
        <v>2.1516151850978663E-2</v>
      </c>
      <c r="AM134">
        <f t="shared" si="39"/>
        <v>-4.1471404957195895E-2</v>
      </c>
      <c r="AN134">
        <f t="shared" si="40"/>
        <v>-7.406180355853004E-4</v>
      </c>
    </row>
    <row r="135" spans="1:40">
      <c r="A135" s="37">
        <v>40575</v>
      </c>
      <c r="B135" s="1">
        <v>12.361899999999999</v>
      </c>
      <c r="C135" s="1">
        <v>11.174104</v>
      </c>
      <c r="D135" s="1">
        <v>31.264325999999997</v>
      </c>
      <c r="E135" s="1">
        <v>34.725738999999997</v>
      </c>
      <c r="F135" s="1">
        <v>34.505626999999997</v>
      </c>
      <c r="G135" s="1">
        <v>14.055935999999999</v>
      </c>
      <c r="H135" s="1">
        <v>67.817939999999993</v>
      </c>
      <c r="I135" s="1">
        <v>41.151119000000001</v>
      </c>
      <c r="J135" s="1">
        <v>52.594710999999997</v>
      </c>
      <c r="K135" s="1">
        <v>9.9085229999999989</v>
      </c>
      <c r="L135" s="1">
        <v>35.435336999999997</v>
      </c>
      <c r="M135" s="1">
        <v>9.240183</v>
      </c>
      <c r="N135" s="1">
        <v>21.434206</v>
      </c>
      <c r="O135" s="1">
        <v>23.459630999999998</v>
      </c>
      <c r="P135" s="1">
        <v>10.593135999999999</v>
      </c>
      <c r="Q135" s="1">
        <v>8.6645000000000003</v>
      </c>
      <c r="R135" s="1">
        <v>20.315864999999999</v>
      </c>
      <c r="S135" s="1">
        <v>90.779815999999997</v>
      </c>
      <c r="V135" s="37">
        <v>40575</v>
      </c>
      <c r="W135">
        <f t="shared" si="41"/>
        <v>-0.11976872487239011</v>
      </c>
      <c r="X135">
        <f t="shared" si="42"/>
        <v>-6.7179883058185341E-2</v>
      </c>
      <c r="Y135">
        <f t="shared" si="26"/>
        <v>-1.2636670945664943E-2</v>
      </c>
      <c r="Z135">
        <f t="shared" si="27"/>
        <v>-5.5555534757661985E-2</v>
      </c>
      <c r="AA135">
        <f t="shared" si="28"/>
        <v>1.8016800564151534E-2</v>
      </c>
      <c r="AB135">
        <f t="shared" si="29"/>
        <v>1.5063244454158074E-2</v>
      </c>
      <c r="AC135">
        <f t="shared" si="30"/>
        <v>7.4764376505685778E-2</v>
      </c>
      <c r="AD135">
        <f t="shared" si="31"/>
        <v>-2.2997673526204836E-2</v>
      </c>
      <c r="AE135">
        <f t="shared" si="32"/>
        <v>1.5698346550473547E-2</v>
      </c>
      <c r="AF135">
        <f t="shared" si="33"/>
        <v>6.6713676700351901E-2</v>
      </c>
      <c r="AG135">
        <f t="shared" si="34"/>
        <v>3.7411017143706142E-2</v>
      </c>
      <c r="AH135">
        <f t="shared" si="35"/>
        <v>-8.9423012509600774E-2</v>
      </c>
      <c r="AI135">
        <f t="shared" si="36"/>
        <v>-1.5576784136533916E-2</v>
      </c>
      <c r="AJ135">
        <f t="shared" si="43"/>
        <v>5.8295844465754899E-2</v>
      </c>
      <c r="AK135">
        <f t="shared" si="37"/>
        <v>-1.3306541141357903E-2</v>
      </c>
      <c r="AL135">
        <f t="shared" si="38"/>
        <v>3.9471406313116596E-2</v>
      </c>
      <c r="AM135">
        <f t="shared" si="39"/>
        <v>-3.9124595482397641E-2</v>
      </c>
      <c r="AN135">
        <f t="shared" si="40"/>
        <v>1.1339558123801463E-2</v>
      </c>
    </row>
    <row r="136" spans="1:40">
      <c r="A136" s="37">
        <v>40603</v>
      </c>
      <c r="B136" s="1">
        <v>10.881330999999999</v>
      </c>
      <c r="C136" s="1">
        <v>10.423428999999999</v>
      </c>
      <c r="D136" s="1">
        <v>30.869249</v>
      </c>
      <c r="E136" s="1">
        <v>32.796531999999999</v>
      </c>
      <c r="F136" s="1">
        <v>35.127307999999999</v>
      </c>
      <c r="G136" s="1">
        <v>14.267664</v>
      </c>
      <c r="H136" s="1">
        <v>72.888306</v>
      </c>
      <c r="I136" s="1">
        <v>40.204738999999996</v>
      </c>
      <c r="J136" s="1">
        <v>53.420361</v>
      </c>
      <c r="K136" s="1">
        <v>10.569557</v>
      </c>
      <c r="L136" s="1">
        <v>36.761009000000001</v>
      </c>
      <c r="M136" s="1">
        <v>8.4138979999999997</v>
      </c>
      <c r="N136" s="1">
        <v>21.10033</v>
      </c>
      <c r="O136" s="1">
        <v>24.82723</v>
      </c>
      <c r="P136" s="1">
        <v>10.452178</v>
      </c>
      <c r="Q136" s="1">
        <v>9.0064999999999991</v>
      </c>
      <c r="R136" s="1">
        <v>19.521014999999998</v>
      </c>
      <c r="S136" s="1">
        <v>91.809218999999999</v>
      </c>
      <c r="V136" s="37">
        <v>40603</v>
      </c>
      <c r="W136">
        <f t="shared" si="41"/>
        <v>5.0165554195529982E-2</v>
      </c>
      <c r="X136">
        <f t="shared" si="42"/>
        <v>-7.8107981548106609E-2</v>
      </c>
      <c r="Y136">
        <f t="shared" si="26"/>
        <v>-1.0194773445897566E-2</v>
      </c>
      <c r="Z136">
        <f t="shared" si="27"/>
        <v>3.8461322678873477E-2</v>
      </c>
      <c r="AA136">
        <f t="shared" si="28"/>
        <v>1.0002474428157139E-2</v>
      </c>
      <c r="AB136">
        <f t="shared" si="29"/>
        <v>-1.233460502013504E-2</v>
      </c>
      <c r="AC136">
        <f t="shared" si="30"/>
        <v>1.0085074552288272E-2</v>
      </c>
      <c r="AD136">
        <f t="shared" si="31"/>
        <v>5.3570998185064833E-2</v>
      </c>
      <c r="AE136">
        <f t="shared" si="32"/>
        <v>-5.1566199636876323E-2</v>
      </c>
      <c r="AF136">
        <f t="shared" si="33"/>
        <v>3.2496063931534758E-2</v>
      </c>
      <c r="AG136">
        <f t="shared" si="34"/>
        <v>8.5840570915776529E-2</v>
      </c>
      <c r="AH136">
        <f t="shared" si="35"/>
        <v>-0.14149957605856406</v>
      </c>
      <c r="AI136">
        <f t="shared" si="36"/>
        <v>-7.9945195169933314E-2</v>
      </c>
      <c r="AJ136">
        <f t="shared" si="43"/>
        <v>-2.2124256310510682E-2</v>
      </c>
      <c r="AK136">
        <f t="shared" si="37"/>
        <v>4.6482178164206503E-3</v>
      </c>
      <c r="AL136">
        <f t="shared" si="38"/>
        <v>8.704824293565766E-2</v>
      </c>
      <c r="AM136">
        <f t="shared" si="39"/>
        <v>2.0874221960282408E-2</v>
      </c>
      <c r="AN136">
        <f t="shared" si="40"/>
        <v>4.6053904455934845E-2</v>
      </c>
    </row>
    <row r="137" spans="1:40">
      <c r="A137" s="37">
        <v>40634</v>
      </c>
      <c r="B137" s="1">
        <v>11.427199</v>
      </c>
      <c r="C137" s="1">
        <v>9.6092759999999995</v>
      </c>
      <c r="D137" s="1">
        <v>30.554544</v>
      </c>
      <c r="E137" s="1">
        <v>34.057929999999999</v>
      </c>
      <c r="F137" s="1">
        <v>35.478667999999999</v>
      </c>
      <c r="G137" s="1">
        <v>14.091678</v>
      </c>
      <c r="H137" s="1">
        <v>73.623390000000001</v>
      </c>
      <c r="I137" s="1">
        <v>42.358547000000002</v>
      </c>
      <c r="J137" s="1">
        <v>50.665675999999998</v>
      </c>
      <c r="K137" s="1">
        <v>10.913026</v>
      </c>
      <c r="L137" s="1">
        <v>39.916595000000001</v>
      </c>
      <c r="M137" s="1">
        <v>7.2233349999999996</v>
      </c>
      <c r="N137" s="1">
        <v>19.413460000000001</v>
      </c>
      <c r="O137" s="1">
        <v>24.277946</v>
      </c>
      <c r="P137" s="1">
        <v>10.500762</v>
      </c>
      <c r="Q137" s="1">
        <v>9.7904999999999998</v>
      </c>
      <c r="R137" s="1">
        <v>19.928501000000001</v>
      </c>
      <c r="S137" s="1">
        <v>96.037391999999997</v>
      </c>
      <c r="V137" s="37">
        <v>40634</v>
      </c>
      <c r="W137">
        <f t="shared" si="41"/>
        <v>-3.4645848033275771E-2</v>
      </c>
      <c r="X137">
        <f t="shared" si="42"/>
        <v>-4.3159338955401062E-2</v>
      </c>
      <c r="Y137">
        <f t="shared" si="26"/>
        <v>-4.7238702040521448E-2</v>
      </c>
      <c r="Z137">
        <f t="shared" si="27"/>
        <v>-0.10348576675094466</v>
      </c>
      <c r="AA137">
        <f t="shared" si="28"/>
        <v>-1.4584651261428348E-2</v>
      </c>
      <c r="AB137">
        <f t="shared" si="29"/>
        <v>0.20786275417306588</v>
      </c>
      <c r="AC137">
        <f t="shared" si="30"/>
        <v>-0.1171280893205271</v>
      </c>
      <c r="AD137">
        <f t="shared" si="31"/>
        <v>4.0919533901859255E-2</v>
      </c>
      <c r="AE137">
        <f t="shared" si="32"/>
        <v>1.6930278399917183E-2</v>
      </c>
      <c r="AF137">
        <f t="shared" si="33"/>
        <v>2.2890168134850931E-2</v>
      </c>
      <c r="AG137">
        <f t="shared" si="34"/>
        <v>5.5527331426941599E-2</v>
      </c>
      <c r="AH137">
        <f t="shared" si="35"/>
        <v>-1.3530315290651755E-2</v>
      </c>
      <c r="AI137">
        <f t="shared" si="36"/>
        <v>-2.5420919300320605E-2</v>
      </c>
      <c r="AJ137">
        <f t="shared" si="43"/>
        <v>2.0467546966287538E-3</v>
      </c>
      <c r="AK137">
        <f t="shared" si="37"/>
        <v>-6.5687613908400446E-3</v>
      </c>
      <c r="AL137">
        <f t="shared" si="38"/>
        <v>4.4941524947653836E-3</v>
      </c>
      <c r="AM137">
        <f t="shared" si="39"/>
        <v>-3.5107808660571171E-2</v>
      </c>
      <c r="AN137">
        <f t="shared" si="40"/>
        <v>-9.6730136111984819E-3</v>
      </c>
    </row>
    <row r="138" spans="1:40">
      <c r="A138" s="37">
        <v>40664</v>
      </c>
      <c r="B138" s="1">
        <v>11.031293999999999</v>
      </c>
      <c r="C138" s="1">
        <v>9.194545999999999</v>
      </c>
      <c r="D138" s="1">
        <v>29.111186999999997</v>
      </c>
      <c r="E138" s="1">
        <v>30.533418999999999</v>
      </c>
      <c r="F138" s="1">
        <v>34.961224000000001</v>
      </c>
      <c r="G138" s="1">
        <v>17.020813</v>
      </c>
      <c r="H138" s="1">
        <v>65.000022999999999</v>
      </c>
      <c r="I138" s="1">
        <v>44.091839</v>
      </c>
      <c r="J138" s="1">
        <v>51.52346</v>
      </c>
      <c r="K138" s="1">
        <v>11.162827</v>
      </c>
      <c r="L138" s="1">
        <v>42.133057000000001</v>
      </c>
      <c r="M138" s="1">
        <v>7.1256009999999996</v>
      </c>
      <c r="N138" s="1">
        <v>18.919951999999999</v>
      </c>
      <c r="O138" s="1">
        <v>24.327636999999999</v>
      </c>
      <c r="P138" s="1">
        <v>10.431785</v>
      </c>
      <c r="Q138" s="1">
        <v>9.8345000000000002</v>
      </c>
      <c r="R138" s="1">
        <v>19.228854999999999</v>
      </c>
      <c r="S138" s="1">
        <v>95.108420999999993</v>
      </c>
      <c r="V138" s="37">
        <v>40664</v>
      </c>
      <c r="W138">
        <f t="shared" si="41"/>
        <v>-0.1034386355762071</v>
      </c>
      <c r="X138">
        <f t="shared" si="42"/>
        <v>-6.7234314777477794E-2</v>
      </c>
      <c r="Y138">
        <f t="shared" si="26"/>
        <v>-5.3191681946874854E-2</v>
      </c>
      <c r="Z138">
        <f t="shared" si="27"/>
        <v>1.215743313907949E-2</v>
      </c>
      <c r="AA138">
        <f t="shared" si="28"/>
        <v>-6.4099300413510262E-3</v>
      </c>
      <c r="AB138">
        <f t="shared" si="29"/>
        <v>1.246509200236204E-2</v>
      </c>
      <c r="AC138">
        <f t="shared" si="30"/>
        <v>-4.2170231232072079E-2</v>
      </c>
      <c r="AD138">
        <f t="shared" si="31"/>
        <v>-5.1194417180013864E-2</v>
      </c>
      <c r="AE138">
        <f t="shared" si="32"/>
        <v>-1.9333930601710458E-2</v>
      </c>
      <c r="AF138">
        <f t="shared" si="33"/>
        <v>-3.0330488862722792E-2</v>
      </c>
      <c r="AG138">
        <f t="shared" si="34"/>
        <v>1.9387152467953048E-3</v>
      </c>
      <c r="AH138">
        <f t="shared" si="35"/>
        <v>8.7281760513955198E-2</v>
      </c>
      <c r="AI138">
        <f t="shared" si="36"/>
        <v>-6.8884424231097259E-3</v>
      </c>
      <c r="AJ138">
        <f t="shared" si="43"/>
        <v>-1.4395191773044049E-2</v>
      </c>
      <c r="AK138">
        <f t="shared" si="37"/>
        <v>-3.4959980482726527E-2</v>
      </c>
      <c r="AL138">
        <f t="shared" si="38"/>
        <v>3.9656311962987321E-2</v>
      </c>
      <c r="AM138">
        <f t="shared" si="39"/>
        <v>4.6398238480658438E-2</v>
      </c>
      <c r="AN138">
        <f t="shared" si="40"/>
        <v>2.0050695616111718E-2</v>
      </c>
    </row>
    <row r="139" spans="1:40">
      <c r="A139" s="37">
        <v>40695</v>
      </c>
      <c r="B139" s="1">
        <v>9.8902319999999992</v>
      </c>
      <c r="C139" s="1">
        <v>8.5763569999999998</v>
      </c>
      <c r="D139" s="1">
        <v>27.562714</v>
      </c>
      <c r="E139" s="1">
        <v>30.904626999999998</v>
      </c>
      <c r="F139" s="1">
        <v>34.737124999999999</v>
      </c>
      <c r="G139" s="1">
        <v>17.232979</v>
      </c>
      <c r="H139" s="1">
        <v>62.258956999999995</v>
      </c>
      <c r="I139" s="1">
        <v>41.834582999999995</v>
      </c>
      <c r="J139" s="1">
        <v>50.527308999999995</v>
      </c>
      <c r="K139" s="1">
        <v>10.824252999999999</v>
      </c>
      <c r="L139" s="1">
        <v>42.214740999999997</v>
      </c>
      <c r="M139" s="1">
        <v>7.7475359999999993</v>
      </c>
      <c r="N139" s="1">
        <v>18.789622999999999</v>
      </c>
      <c r="O139" s="1">
        <v>23.977435999999997</v>
      </c>
      <c r="P139" s="1">
        <v>10.06709</v>
      </c>
      <c r="Q139" s="1">
        <v>10.224499999999999</v>
      </c>
      <c r="R139" s="1">
        <v>20.121040000000001</v>
      </c>
      <c r="S139" s="1">
        <v>97.015411</v>
      </c>
      <c r="V139" s="37">
        <v>40695</v>
      </c>
      <c r="W139">
        <f t="shared" si="41"/>
        <v>-0.11381613697231767</v>
      </c>
      <c r="X139">
        <f t="shared" si="42"/>
        <v>-0.11329612328404709</v>
      </c>
      <c r="Y139">
        <f t="shared" si="26"/>
        <v>-1.1968705258850869E-2</v>
      </c>
      <c r="Z139">
        <f t="shared" si="27"/>
        <v>-7.9250883694535437E-2</v>
      </c>
      <c r="AA139">
        <f t="shared" si="28"/>
        <v>-1.1172455981892686E-2</v>
      </c>
      <c r="AB139">
        <f t="shared" si="29"/>
        <v>-9.0143439506309084E-3</v>
      </c>
      <c r="AC139">
        <f t="shared" si="30"/>
        <v>-4.2923606959878874E-2</v>
      </c>
      <c r="AD139">
        <f t="shared" si="31"/>
        <v>-3.2719628160271096E-2</v>
      </c>
      <c r="AE139">
        <f t="shared" si="32"/>
        <v>-8.7162132461873154E-2</v>
      </c>
      <c r="AF139">
        <f t="shared" si="33"/>
        <v>-6.5533483003399853E-2</v>
      </c>
      <c r="AG139">
        <f t="shared" si="34"/>
        <v>-2.8598801541859467E-2</v>
      </c>
      <c r="AH139">
        <f t="shared" si="35"/>
        <v>-1.6055298097356355E-2</v>
      </c>
      <c r="AI139">
        <f t="shared" si="36"/>
        <v>-4.2768287580862525E-3</v>
      </c>
      <c r="AJ139">
        <f t="shared" si="43"/>
        <v>-5.9246284715346487E-2</v>
      </c>
      <c r="AK139">
        <f t="shared" si="37"/>
        <v>0.16328591479762264</v>
      </c>
      <c r="AL139">
        <f t="shared" si="38"/>
        <v>8.8170570688053257E-2</v>
      </c>
      <c r="AM139">
        <f t="shared" si="39"/>
        <v>5.3846371758119738E-2</v>
      </c>
      <c r="AN139">
        <f t="shared" si="40"/>
        <v>6.0040883607656866E-2</v>
      </c>
    </row>
    <row r="140" spans="1:40">
      <c r="A140" s="37">
        <v>40725</v>
      </c>
      <c r="B140" s="1">
        <v>8.764564</v>
      </c>
      <c r="C140" s="1">
        <v>7.6046889999999996</v>
      </c>
      <c r="D140" s="1">
        <v>27.232823999999997</v>
      </c>
      <c r="E140" s="1">
        <v>28.455407999999998</v>
      </c>
      <c r="F140" s="1">
        <v>34.349025999999995</v>
      </c>
      <c r="G140" s="1">
        <v>17.077635000000001</v>
      </c>
      <c r="H140" s="1">
        <v>59.586577999999996</v>
      </c>
      <c r="I140" s="1">
        <v>40.465770999999997</v>
      </c>
      <c r="J140" s="1">
        <v>46.123241</v>
      </c>
      <c r="K140" s="1">
        <v>10.114901999999999</v>
      </c>
      <c r="L140" s="1">
        <v>41.007449999999999</v>
      </c>
      <c r="M140" s="1">
        <v>7.6231469999999995</v>
      </c>
      <c r="N140" s="1">
        <v>18.709263</v>
      </c>
      <c r="O140" s="1">
        <v>22.556861999999999</v>
      </c>
      <c r="P140" s="1">
        <v>11.710903999999999</v>
      </c>
      <c r="Q140" s="1">
        <v>11.125999999999999</v>
      </c>
      <c r="R140" s="1">
        <v>21.204484999999998</v>
      </c>
      <c r="S140" s="1">
        <v>102.84030199999999</v>
      </c>
      <c r="V140" s="37">
        <v>40725</v>
      </c>
      <c r="W140">
        <f t="shared" si="41"/>
        <v>-0.23282983614473013</v>
      </c>
      <c r="X140">
        <f t="shared" si="42"/>
        <v>-0.15859938519510794</v>
      </c>
      <c r="Y140">
        <f t="shared" si="26"/>
        <v>-6.5741217289841003E-2</v>
      </c>
      <c r="Z140">
        <f t="shared" si="27"/>
        <v>-0.18992909889044637</v>
      </c>
      <c r="AA140">
        <f t="shared" si="28"/>
        <v>4.8526266800114261E-3</v>
      </c>
      <c r="AB140">
        <f t="shared" si="29"/>
        <v>-0.10114304468973608</v>
      </c>
      <c r="AC140">
        <f t="shared" si="30"/>
        <v>2.9423001938456712E-2</v>
      </c>
      <c r="AD140">
        <f t="shared" si="31"/>
        <v>4.409946865957412E-2</v>
      </c>
      <c r="AE140">
        <f t="shared" si="32"/>
        <v>-5.7625005146537844E-2</v>
      </c>
      <c r="AF140">
        <f t="shared" si="33"/>
        <v>-1.4026235746030917E-2</v>
      </c>
      <c r="AG140">
        <f t="shared" si="34"/>
        <v>-6.5949723769705313E-3</v>
      </c>
      <c r="AH140">
        <f t="shared" si="35"/>
        <v>-4.6619591620101201E-2</v>
      </c>
      <c r="AI140">
        <f t="shared" si="36"/>
        <v>-6.5855346626962311E-2</v>
      </c>
      <c r="AJ140">
        <f t="shared" si="43"/>
        <v>-4.7644038430522517E-3</v>
      </c>
      <c r="AK140">
        <f t="shared" si="37"/>
        <v>-1.4469250196227308E-2</v>
      </c>
      <c r="AL140">
        <f t="shared" si="38"/>
        <v>-3.2761100125831354E-2</v>
      </c>
      <c r="AM140">
        <f t="shared" si="39"/>
        <v>-2.9197125042178539E-2</v>
      </c>
      <c r="AN140">
        <f t="shared" si="40"/>
        <v>-5.466033151088958E-2</v>
      </c>
    </row>
    <row r="141" spans="1:40">
      <c r="A141" s="37">
        <v>40756</v>
      </c>
      <c r="B141" s="1">
        <v>6.7239119999999994</v>
      </c>
      <c r="C141" s="1">
        <v>6.3985899999999996</v>
      </c>
      <c r="D141" s="1">
        <v>25.442505000000001</v>
      </c>
      <c r="E141" s="1">
        <v>23.050898</v>
      </c>
      <c r="F141" s="1">
        <v>34.515709000000001</v>
      </c>
      <c r="G141" s="1">
        <v>15.350351</v>
      </c>
      <c r="H141" s="1">
        <v>61.339793999999998</v>
      </c>
      <c r="I141" s="1">
        <v>42.25029</v>
      </c>
      <c r="J141" s="1">
        <v>43.465388999999995</v>
      </c>
      <c r="K141" s="1">
        <v>9.9730279999999993</v>
      </c>
      <c r="L141" s="1">
        <v>40.737006999999998</v>
      </c>
      <c r="M141" s="1">
        <v>7.2677589999999999</v>
      </c>
      <c r="N141" s="1">
        <v>17.477157999999999</v>
      </c>
      <c r="O141" s="1">
        <v>22.449392</v>
      </c>
      <c r="P141" s="1">
        <v>11.541456</v>
      </c>
      <c r="Q141" s="1">
        <v>10.7615</v>
      </c>
      <c r="R141" s="1">
        <v>20.585374999999999</v>
      </c>
      <c r="S141" s="1">
        <v>97.219016999999994</v>
      </c>
      <c r="V141" s="37">
        <v>40756</v>
      </c>
      <c r="W141">
        <f t="shared" si="41"/>
        <v>-0.1196838983020598</v>
      </c>
      <c r="X141">
        <f t="shared" si="42"/>
        <v>-0.24999429561825331</v>
      </c>
      <c r="Y141">
        <f t="shared" si="26"/>
        <v>-0.1980828145656256</v>
      </c>
      <c r="Z141">
        <f t="shared" si="27"/>
        <v>-0.17487921728689274</v>
      </c>
      <c r="AA141">
        <f t="shared" si="28"/>
        <v>-0.10525462478548543</v>
      </c>
      <c r="AB141">
        <f t="shared" si="29"/>
        <v>1.4258175594812048E-2</v>
      </c>
      <c r="AC141">
        <f t="shared" si="30"/>
        <v>-0.20106383141749706</v>
      </c>
      <c r="AD141">
        <f t="shared" si="31"/>
        <v>-7.851898768032245E-3</v>
      </c>
      <c r="AE141">
        <f t="shared" si="32"/>
        <v>-0.20254014061624986</v>
      </c>
      <c r="AF141">
        <f t="shared" si="33"/>
        <v>-5.8108430057551147E-2</v>
      </c>
      <c r="AG141">
        <f t="shared" si="34"/>
        <v>-9.6760986883498795E-2</v>
      </c>
      <c r="AH141">
        <f t="shared" si="35"/>
        <v>-0.28973140138521386</v>
      </c>
      <c r="AI141">
        <f t="shared" si="36"/>
        <v>-7.1763784478002676E-2</v>
      </c>
      <c r="AJ141">
        <f t="shared" si="43"/>
        <v>-0.10018997396455097</v>
      </c>
      <c r="AK141">
        <f t="shared" si="37"/>
        <v>-9.1212928420816575E-3</v>
      </c>
      <c r="AL141">
        <f t="shared" si="38"/>
        <v>4.646192445290985E-3</v>
      </c>
      <c r="AM141">
        <f t="shared" si="39"/>
        <v>-5.837974775781344E-2</v>
      </c>
      <c r="AN141">
        <f t="shared" si="40"/>
        <v>2.1647863401046349E-2</v>
      </c>
    </row>
    <row r="142" spans="1:40">
      <c r="A142" s="37">
        <v>40787</v>
      </c>
      <c r="B142" s="1">
        <v>5.919168</v>
      </c>
      <c r="C142" s="1">
        <v>4.7989790000000001</v>
      </c>
      <c r="D142" s="1">
        <v>20.402781999999998</v>
      </c>
      <c r="E142" s="1">
        <v>19.019774999999999</v>
      </c>
      <c r="F142" s="1">
        <v>30.882770999999998</v>
      </c>
      <c r="G142" s="1">
        <v>15.569218999999999</v>
      </c>
      <c r="H142" s="1">
        <v>49.00658</v>
      </c>
      <c r="I142" s="1">
        <v>41.918544999999995</v>
      </c>
      <c r="J142" s="1">
        <v>34.661902999999995</v>
      </c>
      <c r="K142" s="1">
        <v>9.3935110000000002</v>
      </c>
      <c r="L142" s="1">
        <v>36.795254</v>
      </c>
      <c r="M142" s="1">
        <v>5.1620609999999996</v>
      </c>
      <c r="N142" s="1">
        <v>16.222930999999999</v>
      </c>
      <c r="O142" s="1">
        <v>20.200188000000001</v>
      </c>
      <c r="P142" s="1">
        <v>11.436183</v>
      </c>
      <c r="Q142" s="1">
        <v>10.811499999999999</v>
      </c>
      <c r="R142" s="1">
        <v>19.383606</v>
      </c>
      <c r="S142" s="1">
        <v>99.323600999999996</v>
      </c>
      <c r="V142" s="37">
        <v>40787</v>
      </c>
      <c r="W142">
        <f t="shared" si="41"/>
        <v>0.27914091980494549</v>
      </c>
      <c r="X142">
        <f t="shared" si="42"/>
        <v>0.11601259351207827</v>
      </c>
      <c r="Y142">
        <f t="shared" si="26"/>
        <v>0.15404997220477093</v>
      </c>
      <c r="Z142">
        <f t="shared" si="27"/>
        <v>0.23302131597245507</v>
      </c>
      <c r="AA142">
        <f t="shared" si="28"/>
        <v>5.9444633384743997E-2</v>
      </c>
      <c r="AB142">
        <f t="shared" si="29"/>
        <v>0.16448724884658647</v>
      </c>
      <c r="AC142">
        <f t="shared" si="30"/>
        <v>0.18244603071669144</v>
      </c>
      <c r="AD142">
        <f t="shared" si="31"/>
        <v>1.2820721711595753E-2</v>
      </c>
      <c r="AE142">
        <f t="shared" si="32"/>
        <v>0.30040678955220679</v>
      </c>
      <c r="AF142">
        <f t="shared" si="33"/>
        <v>8.9366265712575249E-2</v>
      </c>
      <c r="AG142">
        <f t="shared" si="34"/>
        <v>0.12739425579179306</v>
      </c>
      <c r="AH142">
        <f t="shared" si="35"/>
        <v>0.31153235112874494</v>
      </c>
      <c r="AI142">
        <f t="shared" si="36"/>
        <v>7.4212421910689191E-2</v>
      </c>
      <c r="AJ142">
        <f t="shared" si="43"/>
        <v>6.1029184480857229E-2</v>
      </c>
      <c r="AK142">
        <f t="shared" si="37"/>
        <v>6.1523412138473101E-2</v>
      </c>
      <c r="AL142">
        <f t="shared" si="38"/>
        <v>-1.2579198076122577E-2</v>
      </c>
      <c r="AM142">
        <f t="shared" si="39"/>
        <v>6.9907477483807559E-2</v>
      </c>
      <c r="AN142">
        <f t="shared" si="40"/>
        <v>5.581331067527439E-2</v>
      </c>
    </row>
    <row r="143" spans="1:40">
      <c r="A143" s="37">
        <v>40817</v>
      </c>
      <c r="B143" s="1">
        <v>7.5714499999999996</v>
      </c>
      <c r="C143" s="1">
        <v>5.355721</v>
      </c>
      <c r="D143" s="1">
        <v>23.545829999999999</v>
      </c>
      <c r="E143" s="1">
        <v>23.451788000000001</v>
      </c>
      <c r="F143" s="1">
        <v>32.718586000000002</v>
      </c>
      <c r="G143" s="1">
        <v>18.130157000000001</v>
      </c>
      <c r="H143" s="1">
        <v>57.947635999999996</v>
      </c>
      <c r="I143" s="1">
        <v>42.455970999999998</v>
      </c>
      <c r="J143" s="1">
        <v>45.074573999999998</v>
      </c>
      <c r="K143" s="1">
        <v>10.232973999999999</v>
      </c>
      <c r="L143" s="1">
        <v>41.482757999999997</v>
      </c>
      <c r="M143" s="1">
        <v>6.7702099999999996</v>
      </c>
      <c r="N143" s="1">
        <v>17.426873999999998</v>
      </c>
      <c r="O143" s="1">
        <v>21.432988999999999</v>
      </c>
      <c r="P143" s="1">
        <v>12.139775999999999</v>
      </c>
      <c r="Q143" s="1">
        <v>10.6755</v>
      </c>
      <c r="R143" s="1">
        <v>20.738664999999997</v>
      </c>
      <c r="S143" s="1">
        <v>104.86717999999999</v>
      </c>
      <c r="V143" s="37">
        <v>40817</v>
      </c>
      <c r="W143">
        <f t="shared" si="41"/>
        <v>-6.8744824307101007E-2</v>
      </c>
      <c r="X143">
        <f t="shared" si="42"/>
        <v>-0.20351358855324986</v>
      </c>
      <c r="Y143">
        <f t="shared" si="26"/>
        <v>-0.10119035939697181</v>
      </c>
      <c r="Z143">
        <f t="shared" si="27"/>
        <v>-0.13010453616585663</v>
      </c>
      <c r="AA143">
        <f t="shared" si="28"/>
        <v>2.7417444017904568E-3</v>
      </c>
      <c r="AB143">
        <f t="shared" si="29"/>
        <v>5.8958287013179095E-2</v>
      </c>
      <c r="AC143">
        <f t="shared" si="30"/>
        <v>4.4137020533503775E-2</v>
      </c>
      <c r="AD143">
        <f t="shared" si="31"/>
        <v>1.7290406572022656E-2</v>
      </c>
      <c r="AE143">
        <f t="shared" si="32"/>
        <v>2.4745613791047678E-2</v>
      </c>
      <c r="AF143">
        <f t="shared" si="33"/>
        <v>4.2056395335315092E-2</v>
      </c>
      <c r="AG143">
        <f t="shared" si="34"/>
        <v>-4.701835398697457E-2</v>
      </c>
      <c r="AH143">
        <f t="shared" si="35"/>
        <v>-4.4619590825099933E-2</v>
      </c>
      <c r="AI143">
        <f t="shared" si="36"/>
        <v>-1.9297781116681466E-3</v>
      </c>
      <c r="AJ143">
        <f t="shared" si="43"/>
        <v>-4.932732434099598E-2</v>
      </c>
      <c r="AK143">
        <f t="shared" si="37"/>
        <v>-5.578340160477431E-2</v>
      </c>
      <c r="AL143">
        <f t="shared" si="38"/>
        <v>-9.9386445599737722E-2</v>
      </c>
      <c r="AM143">
        <f t="shared" si="39"/>
        <v>-3.942929788392837E-2</v>
      </c>
      <c r="AN143">
        <f t="shared" si="40"/>
        <v>1.8252402705975345E-2</v>
      </c>
    </row>
    <row r="144" spans="1:40">
      <c r="A144" s="37">
        <v>40848</v>
      </c>
      <c r="B144" s="1">
        <v>7.0509519999999997</v>
      </c>
      <c r="C144" s="1">
        <v>4.2657590000000001</v>
      </c>
      <c r="D144" s="1">
        <v>21.163218999999998</v>
      </c>
      <c r="E144" s="1">
        <v>20.400603999999998</v>
      </c>
      <c r="F144" s="1">
        <v>32.808292000000002</v>
      </c>
      <c r="G144" s="1">
        <v>19.199079999999999</v>
      </c>
      <c r="H144" s="1">
        <v>60.505271999999998</v>
      </c>
      <c r="I144" s="1">
        <v>43.190052000000001</v>
      </c>
      <c r="J144" s="1">
        <v>46.189971999999997</v>
      </c>
      <c r="K144" s="1">
        <v>10.663335999999999</v>
      </c>
      <c r="L144" s="1">
        <v>39.532306999999996</v>
      </c>
      <c r="M144" s="1">
        <v>6.4681259999999998</v>
      </c>
      <c r="N144" s="1">
        <v>17.393243999999999</v>
      </c>
      <c r="O144" s="1">
        <v>20.375757</v>
      </c>
      <c r="P144" s="1">
        <v>11.462577999999999</v>
      </c>
      <c r="Q144" s="1">
        <v>9.6144999999999996</v>
      </c>
      <c r="R144" s="1">
        <v>19.920953999999998</v>
      </c>
      <c r="S144" s="1">
        <v>106.78125799999999</v>
      </c>
      <c r="V144" s="37">
        <v>40848</v>
      </c>
      <c r="W144">
        <f t="shared" si="41"/>
        <v>-5.1503825299051849E-2</v>
      </c>
      <c r="X144">
        <f t="shared" si="42"/>
        <v>2.4074262048090329E-2</v>
      </c>
      <c r="Y144">
        <f t="shared" si="26"/>
        <v>7.3619802356153896E-2</v>
      </c>
      <c r="Z144">
        <f t="shared" si="27"/>
        <v>-4.2255317538637475E-2</v>
      </c>
      <c r="AA144">
        <f t="shared" si="28"/>
        <v>-6.5473417512865395E-2</v>
      </c>
      <c r="AB144">
        <f t="shared" si="29"/>
        <v>-4.6396493998670579E-3</v>
      </c>
      <c r="AC144">
        <f t="shared" si="30"/>
        <v>-2.3974704220815622E-2</v>
      </c>
      <c r="AD144">
        <f t="shared" si="31"/>
        <v>3.314233101641087E-2</v>
      </c>
      <c r="AE144">
        <f t="shared" si="32"/>
        <v>3.992806057557257E-2</v>
      </c>
      <c r="AF144">
        <f t="shared" si="33"/>
        <v>8.9078596041614042E-2</v>
      </c>
      <c r="AG144">
        <f t="shared" si="34"/>
        <v>-1.8109745024493439E-2</v>
      </c>
      <c r="AH144">
        <f t="shared" si="35"/>
        <v>6.1813267088488923E-2</v>
      </c>
      <c r="AI144">
        <f t="shared" si="36"/>
        <v>7.0926849528472016E-2</v>
      </c>
      <c r="AJ144">
        <f t="shared" si="43"/>
        <v>5.4999085432752226E-2</v>
      </c>
      <c r="AK144">
        <f t="shared" si="37"/>
        <v>5.9654643135252913E-2</v>
      </c>
      <c r="AL144">
        <f t="shared" si="38"/>
        <v>-9.9797181340683369E-2</v>
      </c>
      <c r="AM144">
        <f t="shared" si="39"/>
        <v>2.2497466737787866E-2</v>
      </c>
      <c r="AN144">
        <f t="shared" si="40"/>
        <v>-1.7982809305355788E-2</v>
      </c>
    </row>
    <row r="145" spans="1:40">
      <c r="A145" s="37">
        <v>40878</v>
      </c>
      <c r="B145" s="1">
        <v>6.6878009999999994</v>
      </c>
      <c r="C145" s="1">
        <v>4.3684539999999998</v>
      </c>
      <c r="D145" s="1">
        <v>22.721250999999999</v>
      </c>
      <c r="E145" s="1">
        <v>19.53857</v>
      </c>
      <c r="F145" s="1">
        <v>30.660221</v>
      </c>
      <c r="G145" s="1">
        <v>19.110002999999999</v>
      </c>
      <c r="H145" s="1">
        <v>59.054676000000001</v>
      </c>
      <c r="I145" s="1">
        <v>44.621471</v>
      </c>
      <c r="J145" s="1">
        <v>48.034247999999998</v>
      </c>
      <c r="K145" s="1">
        <v>11.613211</v>
      </c>
      <c r="L145" s="1">
        <v>38.816386999999999</v>
      </c>
      <c r="M145" s="1">
        <v>6.8679419999999993</v>
      </c>
      <c r="N145" s="1">
        <v>18.626891999999998</v>
      </c>
      <c r="O145" s="1">
        <v>21.496404999999999</v>
      </c>
      <c r="P145" s="1">
        <v>12.146374</v>
      </c>
      <c r="Q145" s="1">
        <v>8.6549999999999994</v>
      </c>
      <c r="R145" s="1">
        <v>20.369125</v>
      </c>
      <c r="S145" s="1">
        <v>104.861031</v>
      </c>
      <c r="V145" s="37">
        <v>40878</v>
      </c>
      <c r="W145">
        <f t="shared" si="41"/>
        <v>0.23111916757092515</v>
      </c>
      <c r="X145">
        <f t="shared" si="42"/>
        <v>0.28237449678993981</v>
      </c>
      <c r="Y145">
        <f t="shared" si="26"/>
        <v>0.12180425276759622</v>
      </c>
      <c r="Z145">
        <f t="shared" si="27"/>
        <v>0.16761677031635364</v>
      </c>
      <c r="AA145">
        <f t="shared" si="28"/>
        <v>6.0390367049213391E-2</v>
      </c>
      <c r="AB145">
        <f t="shared" si="29"/>
        <v>5.0162734145044366E-2</v>
      </c>
      <c r="AC145">
        <f t="shared" si="30"/>
        <v>0.11962079006241602</v>
      </c>
      <c r="AD145">
        <f t="shared" si="31"/>
        <v>-5.5014031249664593E-2</v>
      </c>
      <c r="AE145">
        <f t="shared" si="32"/>
        <v>3.8165851997932744E-2</v>
      </c>
      <c r="AF145">
        <f t="shared" si="33"/>
        <v>-1.1090558847161263E-2</v>
      </c>
      <c r="AG145">
        <f t="shared" si="34"/>
        <v>6.2963098549074198E-2</v>
      </c>
      <c r="AH145">
        <f t="shared" si="35"/>
        <v>-3.622264136767598E-2</v>
      </c>
      <c r="AI145">
        <f t="shared" si="36"/>
        <v>5.9868924992961856E-2</v>
      </c>
      <c r="AJ145">
        <f t="shared" si="43"/>
        <v>3.0878465492253176E-2</v>
      </c>
      <c r="AK145">
        <f t="shared" si="37"/>
        <v>0.12711085629340907</v>
      </c>
      <c r="AL145">
        <f t="shared" si="38"/>
        <v>0.12328134026574238</v>
      </c>
      <c r="AM145">
        <f t="shared" si="39"/>
        <v>0.13751921106085799</v>
      </c>
      <c r="AN145">
        <f t="shared" si="40"/>
        <v>4.7421534506941775E-2</v>
      </c>
    </row>
    <row r="146" spans="1:40">
      <c r="A146" s="37">
        <v>40909</v>
      </c>
      <c r="B146" s="1">
        <v>8.2334800000000001</v>
      </c>
      <c r="C146" s="1">
        <v>5.6019939999999995</v>
      </c>
      <c r="D146" s="1">
        <v>25.488795999999997</v>
      </c>
      <c r="E146" s="1">
        <v>22.813561999999997</v>
      </c>
      <c r="F146" s="1">
        <v>32.511803</v>
      </c>
      <c r="G146" s="1">
        <v>20.068612999999999</v>
      </c>
      <c r="H146" s="1">
        <v>66.118842999999998</v>
      </c>
      <c r="I146" s="1">
        <v>42.166663999999997</v>
      </c>
      <c r="J146" s="1">
        <v>49.867515999999995</v>
      </c>
      <c r="K146" s="1">
        <v>11.484413999999999</v>
      </c>
      <c r="L146" s="1">
        <v>41.260387000000001</v>
      </c>
      <c r="M146" s="1">
        <v>6.619167</v>
      </c>
      <c r="N146" s="1">
        <v>19.742063999999999</v>
      </c>
      <c r="O146" s="1">
        <v>22.160180999999998</v>
      </c>
      <c r="P146" s="1">
        <v>13.69031</v>
      </c>
      <c r="Q146" s="1">
        <v>9.7219999999999995</v>
      </c>
      <c r="R146" s="1">
        <v>23.170271</v>
      </c>
      <c r="S146" s="1">
        <v>109.83370199999999</v>
      </c>
      <c r="V146" s="37">
        <v>40909</v>
      </c>
      <c r="W146">
        <f t="shared" si="41"/>
        <v>0.15077609953506885</v>
      </c>
      <c r="X146">
        <f t="shared" si="42"/>
        <v>0.11781197909173062</v>
      </c>
      <c r="Y146">
        <f t="shared" ref="Y146:Y209" si="44">(D147-D146)/D146</f>
        <v>5.9583944255350532E-2</v>
      </c>
      <c r="Z146">
        <f t="shared" ref="Z146:Z209" si="45">(E147-E146)/E146</f>
        <v>8.4635051729317887E-2</v>
      </c>
      <c r="AA146">
        <f t="shared" ref="AA146:AA209" si="46">(F147-F146)/F146</f>
        <v>2.0501539087204722E-2</v>
      </c>
      <c r="AB146">
        <f t="shared" ref="AB146:AB209" si="47">(G147-G146)/G146</f>
        <v>0.12704086724877306</v>
      </c>
      <c r="AC146">
        <f t="shared" ref="AC146:AC209" si="48">(H147-H146)/H146</f>
        <v>-3.7377121072732687E-2</v>
      </c>
      <c r="AD146">
        <f t="shared" ref="AD146:AD209" si="49">(I147-I146)/I146</f>
        <v>8.1219135571170636E-2</v>
      </c>
      <c r="AE146">
        <f t="shared" ref="AE146:AE209" si="50">(J147-J146)/J146</f>
        <v>9.432876103153004E-2</v>
      </c>
      <c r="AF146">
        <f t="shared" ref="AF146:AF209" si="51">(K147-K146)/K146</f>
        <v>-1.2616751712364189E-2</v>
      </c>
      <c r="AG146">
        <f t="shared" ref="AG146:AG209" si="52">(L147-L146)/L146</f>
        <v>5.8785464130522894E-2</v>
      </c>
      <c r="AH146">
        <f t="shared" ref="AH146:AH209" si="53">(M147-M146)/M146</f>
        <v>-0.1154359755540237</v>
      </c>
      <c r="AI146">
        <f t="shared" ref="AI146:AI209" si="54">(N147-N146)/N146</f>
        <v>7.1208511936745766E-2</v>
      </c>
      <c r="AJ146">
        <f t="shared" si="43"/>
        <v>6.6548644164955206E-2</v>
      </c>
      <c r="AK146">
        <f t="shared" si="37"/>
        <v>0.18831063723173538</v>
      </c>
      <c r="AL146">
        <f t="shared" si="38"/>
        <v>-7.5858876774326345E-2</v>
      </c>
      <c r="AM146">
        <f t="shared" si="39"/>
        <v>7.4838788031439021E-2</v>
      </c>
      <c r="AN146">
        <f t="shared" si="40"/>
        <v>2.1443900707271146E-2</v>
      </c>
    </row>
    <row r="147" spans="1:40">
      <c r="A147" s="37">
        <v>40940</v>
      </c>
      <c r="B147" s="1">
        <v>9.4748919999999988</v>
      </c>
      <c r="C147" s="1">
        <v>6.2619759999999998</v>
      </c>
      <c r="D147" s="1">
        <v>27.007518999999998</v>
      </c>
      <c r="E147" s="1">
        <v>24.744388999999998</v>
      </c>
      <c r="F147" s="1">
        <v>33.178345</v>
      </c>
      <c r="G147" s="1">
        <v>22.618147</v>
      </c>
      <c r="H147" s="1">
        <v>63.647510999999994</v>
      </c>
      <c r="I147" s="1">
        <v>45.591403999999997</v>
      </c>
      <c r="J147" s="1">
        <v>54.571456999999995</v>
      </c>
      <c r="K147" s="1">
        <v>11.339518</v>
      </c>
      <c r="L147" s="1">
        <v>43.685897999999995</v>
      </c>
      <c r="M147" s="1">
        <v>5.8550769999999996</v>
      </c>
      <c r="N147" s="1">
        <v>21.147866999999998</v>
      </c>
      <c r="O147" s="1">
        <v>23.634910999999999</v>
      </c>
      <c r="P147" s="1">
        <v>16.268340999999999</v>
      </c>
      <c r="Q147" s="1">
        <v>8.9844999999999988</v>
      </c>
      <c r="R147" s="1">
        <v>24.904305999999998</v>
      </c>
      <c r="S147" s="1">
        <v>112.188965</v>
      </c>
      <c r="V147" s="37">
        <v>40940</v>
      </c>
      <c r="W147">
        <f t="shared" si="41"/>
        <v>-1.5049459138953641E-2</v>
      </c>
      <c r="X147">
        <f t="shared" si="42"/>
        <v>0.20223360804959969</v>
      </c>
      <c r="Y147">
        <f t="shared" si="44"/>
        <v>0.17176331524565441</v>
      </c>
      <c r="Z147">
        <f t="shared" si="45"/>
        <v>9.7286257502660595E-2</v>
      </c>
      <c r="AA147">
        <f t="shared" si="46"/>
        <v>1.3820611003954564E-2</v>
      </c>
      <c r="AB147">
        <f t="shared" si="47"/>
        <v>4.6352382447598331E-2</v>
      </c>
      <c r="AC147">
        <f t="shared" si="48"/>
        <v>-2.4477956412152533E-2</v>
      </c>
      <c r="AD147">
        <f t="shared" si="49"/>
        <v>-6.0635114461488823E-3</v>
      </c>
      <c r="AE147">
        <f t="shared" si="50"/>
        <v>2.0838732599717967E-3</v>
      </c>
      <c r="AF147">
        <f t="shared" si="51"/>
        <v>8.3069932954822165E-2</v>
      </c>
      <c r="AG147">
        <f t="shared" si="52"/>
        <v>9.396851588125768E-2</v>
      </c>
      <c r="AH147">
        <f t="shared" si="53"/>
        <v>3.0349216585879267E-2</v>
      </c>
      <c r="AI147">
        <f t="shared" si="54"/>
        <v>9.5584486132809579E-2</v>
      </c>
      <c r="AJ147">
        <f t="shared" si="43"/>
        <v>4.2075597407580677E-2</v>
      </c>
      <c r="AK147">
        <f t="shared" si="37"/>
        <v>0.10528375327269082</v>
      </c>
      <c r="AL147">
        <f t="shared" si="38"/>
        <v>0.12699649396182316</v>
      </c>
      <c r="AM147">
        <f t="shared" si="39"/>
        <v>2.3074403277890999E-2</v>
      </c>
      <c r="AN147">
        <f t="shared" si="40"/>
        <v>6.4720563203341741E-2</v>
      </c>
    </row>
    <row r="148" spans="1:40">
      <c r="A148" s="37">
        <v>40969</v>
      </c>
      <c r="B148" s="1">
        <v>9.3323</v>
      </c>
      <c r="C148" s="1">
        <v>7.5283579999999999</v>
      </c>
      <c r="D148" s="1">
        <v>31.646419999999999</v>
      </c>
      <c r="E148" s="1">
        <v>27.151678</v>
      </c>
      <c r="F148" s="1">
        <v>33.636890000000001</v>
      </c>
      <c r="G148" s="1">
        <v>23.666551999999999</v>
      </c>
      <c r="H148" s="1">
        <v>62.089549999999996</v>
      </c>
      <c r="I148" s="1">
        <v>45.314959999999999</v>
      </c>
      <c r="J148" s="1">
        <v>54.685176999999996</v>
      </c>
      <c r="K148" s="1">
        <v>12.281490999999999</v>
      </c>
      <c r="L148" s="1">
        <v>47.790996999999997</v>
      </c>
      <c r="M148" s="1">
        <v>6.0327739999999999</v>
      </c>
      <c r="N148" s="1">
        <v>23.169274999999999</v>
      </c>
      <c r="O148" s="1">
        <v>24.629363999999999</v>
      </c>
      <c r="P148" s="1">
        <v>17.981133</v>
      </c>
      <c r="Q148" s="1">
        <v>10.125499999999999</v>
      </c>
      <c r="R148" s="1">
        <v>25.478957999999999</v>
      </c>
      <c r="S148" s="1">
        <v>119.44989799999999</v>
      </c>
      <c r="V148" s="37">
        <v>40969</v>
      </c>
      <c r="W148">
        <f t="shared" si="41"/>
        <v>-6.0065792998510684E-2</v>
      </c>
      <c r="X148">
        <f t="shared" si="42"/>
        <v>-0.15256022628041863</v>
      </c>
      <c r="Y148">
        <f t="shared" si="44"/>
        <v>-6.5246021508910054E-2</v>
      </c>
      <c r="Z148">
        <f t="shared" si="45"/>
        <v>-9.6032812410341714E-2</v>
      </c>
      <c r="AA148">
        <f t="shared" si="46"/>
        <v>-8.4169493671976418E-4</v>
      </c>
      <c r="AB148">
        <f t="shared" si="47"/>
        <v>3.7712548917138426E-2</v>
      </c>
      <c r="AC148">
        <f t="shared" si="48"/>
        <v>2.3761695808714969E-2</v>
      </c>
      <c r="AD148">
        <f t="shared" si="49"/>
        <v>-5.3117226628910143E-2</v>
      </c>
      <c r="AE148">
        <f t="shared" si="50"/>
        <v>-4.422558603037894E-2</v>
      </c>
      <c r="AF148">
        <f t="shared" si="51"/>
        <v>1.1037666355005322E-2</v>
      </c>
      <c r="AG148">
        <f t="shared" si="52"/>
        <v>4.0615097441888563E-2</v>
      </c>
      <c r="AH148">
        <f t="shared" si="53"/>
        <v>-7.06925205552206E-2</v>
      </c>
      <c r="AI148">
        <f t="shared" si="54"/>
        <v>-1.820350442558091E-2</v>
      </c>
      <c r="AJ148">
        <f t="shared" si="43"/>
        <v>-5.8855356557319773E-3</v>
      </c>
      <c r="AK148">
        <f t="shared" si="37"/>
        <v>-2.5969331298533956E-2</v>
      </c>
      <c r="AL148">
        <f t="shared" si="38"/>
        <v>0.14512863562293221</v>
      </c>
      <c r="AM148">
        <f t="shared" si="39"/>
        <v>-7.4396292030467302E-3</v>
      </c>
      <c r="AN148">
        <f t="shared" si="40"/>
        <v>-7.5245271452638535E-3</v>
      </c>
    </row>
    <row r="149" spans="1:40">
      <c r="A149" s="37">
        <v>41000</v>
      </c>
      <c r="B149" s="1">
        <v>8.7717479999999988</v>
      </c>
      <c r="C149" s="1">
        <v>6.3798300000000001</v>
      </c>
      <c r="D149" s="1">
        <v>29.581616999999998</v>
      </c>
      <c r="E149" s="1">
        <v>24.544225999999998</v>
      </c>
      <c r="F149" s="1">
        <v>33.608578000000001</v>
      </c>
      <c r="G149" s="1">
        <v>24.559078</v>
      </c>
      <c r="H149" s="1">
        <v>63.564902999999994</v>
      </c>
      <c r="I149" s="1">
        <v>42.907955000000001</v>
      </c>
      <c r="J149" s="1">
        <v>52.266692999999997</v>
      </c>
      <c r="K149" s="1">
        <v>12.41705</v>
      </c>
      <c r="L149" s="1">
        <v>49.732033000000001</v>
      </c>
      <c r="M149" s="1">
        <v>5.6063019999999995</v>
      </c>
      <c r="N149" s="1">
        <v>22.747512999999998</v>
      </c>
      <c r="O149" s="1">
        <v>24.484406999999997</v>
      </c>
      <c r="P149" s="1">
        <v>17.514174999999998</v>
      </c>
      <c r="Q149" s="1">
        <v>11.594999999999999</v>
      </c>
      <c r="R149" s="1">
        <v>25.289403999999998</v>
      </c>
      <c r="S149" s="1">
        <v>118.55109399999999</v>
      </c>
      <c r="V149" s="37">
        <v>41000</v>
      </c>
      <c r="W149">
        <f t="shared" si="41"/>
        <v>-0.22401680942042557</v>
      </c>
      <c r="X149">
        <f t="shared" si="42"/>
        <v>-9.3711431182335617E-2</v>
      </c>
      <c r="Y149">
        <f t="shared" si="44"/>
        <v>-0.22366191138232902</v>
      </c>
      <c r="Z149">
        <f t="shared" si="45"/>
        <v>-0.19763919220756851</v>
      </c>
      <c r="AA149">
        <f t="shared" si="46"/>
        <v>-9.0035883101034567E-2</v>
      </c>
      <c r="AB149">
        <f t="shared" si="47"/>
        <v>-7.2403613849021484E-2</v>
      </c>
      <c r="AC149">
        <f t="shared" si="48"/>
        <v>-0.10308375677061907</v>
      </c>
      <c r="AD149">
        <f t="shared" si="49"/>
        <v>-1.2933149575643966E-2</v>
      </c>
      <c r="AE149">
        <f t="shared" si="50"/>
        <v>-9.4450571035745473E-2</v>
      </c>
      <c r="AF149">
        <f t="shared" si="51"/>
        <v>-4.4978235571250892E-2</v>
      </c>
      <c r="AG149">
        <f t="shared" si="52"/>
        <v>-6.9537253785703926E-2</v>
      </c>
      <c r="AH149">
        <f t="shared" si="53"/>
        <v>5.3882933884047045E-2</v>
      </c>
      <c r="AI149">
        <f t="shared" si="54"/>
        <v>-4.0993536304386263E-2</v>
      </c>
      <c r="AJ149">
        <f t="shared" si="43"/>
        <v>-8.790427311553832E-2</v>
      </c>
      <c r="AK149">
        <f t="shared" si="37"/>
        <v>-1.0702759336366021E-2</v>
      </c>
      <c r="AL149">
        <f t="shared" si="38"/>
        <v>-8.1888745148770911E-2</v>
      </c>
      <c r="AM149">
        <f t="shared" si="39"/>
        <v>-8.8381995874635869E-2</v>
      </c>
      <c r="AN149">
        <f t="shared" si="40"/>
        <v>-6.8475934941604158E-2</v>
      </c>
    </row>
    <row r="150" spans="1:40">
      <c r="A150" s="37">
        <v>41030</v>
      </c>
      <c r="B150" s="1">
        <v>6.8067289999999998</v>
      </c>
      <c r="C150" s="1">
        <v>5.7819669999999999</v>
      </c>
      <c r="D150" s="1">
        <v>22.965336000000001</v>
      </c>
      <c r="E150" s="1">
        <v>19.693324999999998</v>
      </c>
      <c r="F150" s="1">
        <v>30.582599999999999</v>
      </c>
      <c r="G150" s="1">
        <v>22.780912000000001</v>
      </c>
      <c r="H150" s="1">
        <v>57.012394</v>
      </c>
      <c r="I150" s="1">
        <v>42.353020000000001</v>
      </c>
      <c r="J150" s="1">
        <v>47.330073999999996</v>
      </c>
      <c r="K150" s="1">
        <v>11.858552999999999</v>
      </c>
      <c r="L150" s="1">
        <v>46.273803999999998</v>
      </c>
      <c r="M150" s="1">
        <v>5.9083860000000001</v>
      </c>
      <c r="N150" s="1">
        <v>21.815011999999999</v>
      </c>
      <c r="O150" s="1">
        <v>22.332122999999999</v>
      </c>
      <c r="P150" s="1">
        <v>17.326725</v>
      </c>
      <c r="Q150" s="1">
        <v>10.6455</v>
      </c>
      <c r="R150" s="1">
        <v>23.054275999999998</v>
      </c>
      <c r="S150" s="1">
        <v>110.43319699999999</v>
      </c>
      <c r="V150" s="37">
        <v>41030</v>
      </c>
      <c r="W150">
        <f t="shared" si="41"/>
        <v>-6.3699024891397962E-2</v>
      </c>
      <c r="X150">
        <f t="shared" si="42"/>
        <v>0.11442334416644021</v>
      </c>
      <c r="Y150">
        <f t="shared" si="44"/>
        <v>7.7828079676256337E-2</v>
      </c>
      <c r="Z150">
        <f t="shared" si="45"/>
        <v>3.4265772793573526E-2</v>
      </c>
      <c r="AA150">
        <f t="shared" si="46"/>
        <v>3.5219373107583982E-2</v>
      </c>
      <c r="AB150">
        <f t="shared" si="47"/>
        <v>-9.7240575794331707E-2</v>
      </c>
      <c r="AC150">
        <f t="shared" si="48"/>
        <v>9.4760974254124428E-2</v>
      </c>
      <c r="AD150">
        <f t="shared" si="49"/>
        <v>-1.6696282815251439E-2</v>
      </c>
      <c r="AE150">
        <f t="shared" si="50"/>
        <v>-2.8528288377491204E-2</v>
      </c>
      <c r="AF150">
        <f t="shared" si="51"/>
        <v>6.2090965061251606E-2</v>
      </c>
      <c r="AG150">
        <f t="shared" si="52"/>
        <v>4.2629345968617609E-2</v>
      </c>
      <c r="AH150">
        <f t="shared" si="53"/>
        <v>0.17293250644084515</v>
      </c>
      <c r="AI150">
        <f t="shared" si="54"/>
        <v>5.0146660473989177E-2</v>
      </c>
      <c r="AJ150">
        <f t="shared" si="43"/>
        <v>2.4354872127473066E-2</v>
      </c>
      <c r="AK150">
        <f t="shared" si="37"/>
        <v>1.0853003092044282E-2</v>
      </c>
      <c r="AL150">
        <f t="shared" si="38"/>
        <v>7.2518904701516923E-2</v>
      </c>
      <c r="AM150">
        <f t="shared" si="39"/>
        <v>5.4838113328737809E-2</v>
      </c>
      <c r="AN150">
        <f t="shared" si="40"/>
        <v>1.8140414788498788E-2</v>
      </c>
    </row>
    <row r="151" spans="1:40">
      <c r="A151" s="37">
        <v>41061</v>
      </c>
      <c r="B151" s="1">
        <v>6.3731469999999995</v>
      </c>
      <c r="C151" s="1">
        <v>6.4435589999999996</v>
      </c>
      <c r="D151" s="1">
        <v>24.752683999999999</v>
      </c>
      <c r="E151" s="1">
        <v>20.368131999999999</v>
      </c>
      <c r="F151" s="1">
        <v>31.659699999999997</v>
      </c>
      <c r="G151" s="1">
        <v>20.565683</v>
      </c>
      <c r="H151" s="1">
        <v>62.414943999999998</v>
      </c>
      <c r="I151" s="1">
        <v>41.645882</v>
      </c>
      <c r="J151" s="1">
        <v>45.979827999999998</v>
      </c>
      <c r="K151" s="1">
        <v>12.594861999999999</v>
      </c>
      <c r="L151" s="1">
        <v>48.246426</v>
      </c>
      <c r="M151" s="1">
        <v>6.9301379999999995</v>
      </c>
      <c r="N151" s="1">
        <v>22.908961999999999</v>
      </c>
      <c r="O151" s="1">
        <v>22.876018999999999</v>
      </c>
      <c r="P151" s="1">
        <v>17.514772000000001</v>
      </c>
      <c r="Q151" s="1">
        <v>11.417499999999999</v>
      </c>
      <c r="R151" s="1">
        <v>24.318528999999998</v>
      </c>
      <c r="S151" s="1">
        <v>112.43650099999999</v>
      </c>
      <c r="V151" s="37">
        <v>41061</v>
      </c>
      <c r="W151">
        <f t="shared" si="41"/>
        <v>1.553392695947547E-2</v>
      </c>
      <c r="X151">
        <f t="shared" si="42"/>
        <v>-0.10268952297945896</v>
      </c>
      <c r="Y151">
        <f t="shared" si="44"/>
        <v>7.5562714734289486E-3</v>
      </c>
      <c r="Z151">
        <f t="shared" si="45"/>
        <v>-1.0215418871008979E-2</v>
      </c>
      <c r="AA151">
        <f t="shared" si="46"/>
        <v>3.5469034766595985E-2</v>
      </c>
      <c r="AB151">
        <f t="shared" si="47"/>
        <v>4.9060126036173962E-2</v>
      </c>
      <c r="AC151">
        <f t="shared" si="48"/>
        <v>-4.4295882088751029E-2</v>
      </c>
      <c r="AD151">
        <f t="shared" si="49"/>
        <v>5.3714602562625537E-2</v>
      </c>
      <c r="AE151">
        <f t="shared" si="50"/>
        <v>4.6044843838911276E-2</v>
      </c>
      <c r="AF151">
        <f t="shared" si="51"/>
        <v>4.5217645100041677E-2</v>
      </c>
      <c r="AG151">
        <f t="shared" si="52"/>
        <v>-8.5897554359778156E-3</v>
      </c>
      <c r="AH151">
        <f t="shared" si="53"/>
        <v>-6.4106948519639549E-3</v>
      </c>
      <c r="AI151">
        <f t="shared" si="54"/>
        <v>1.1064621784260618E-2</v>
      </c>
      <c r="AJ151">
        <f t="shared" si="43"/>
        <v>4.4742050616411785E-3</v>
      </c>
      <c r="AK151">
        <f t="shared" si="37"/>
        <v>4.5822177987814953E-2</v>
      </c>
      <c r="AL151">
        <f t="shared" si="38"/>
        <v>2.1677249835778456E-2</v>
      </c>
      <c r="AM151">
        <f t="shared" si="39"/>
        <v>-3.6613193174636488E-2</v>
      </c>
      <c r="AN151">
        <f t="shared" si="40"/>
        <v>2.0452166151986432E-3</v>
      </c>
    </row>
    <row r="152" spans="1:40">
      <c r="A152" s="37">
        <v>41091</v>
      </c>
      <c r="B152" s="1">
        <v>6.4721469999999997</v>
      </c>
      <c r="C152" s="1">
        <v>5.781873</v>
      </c>
      <c r="D152" s="1">
        <v>24.939722</v>
      </c>
      <c r="E152" s="1">
        <v>20.160062999999997</v>
      </c>
      <c r="F152" s="1">
        <v>32.782638999999996</v>
      </c>
      <c r="G152" s="1">
        <v>21.574638</v>
      </c>
      <c r="H152" s="1">
        <v>59.650219</v>
      </c>
      <c r="I152" s="1">
        <v>43.882874000000001</v>
      </c>
      <c r="J152" s="1">
        <v>48.096961999999998</v>
      </c>
      <c r="K152" s="1">
        <v>13.164372</v>
      </c>
      <c r="L152" s="1">
        <v>47.832000999999998</v>
      </c>
      <c r="M152" s="1">
        <v>6.8857109999999997</v>
      </c>
      <c r="N152" s="1">
        <v>23.162440999999998</v>
      </c>
      <c r="O152" s="1">
        <v>22.978370999999999</v>
      </c>
      <c r="P152" s="1">
        <v>18.317336999999998</v>
      </c>
      <c r="Q152" s="1">
        <v>11.664999999999999</v>
      </c>
      <c r="R152" s="1">
        <v>23.428149999999999</v>
      </c>
      <c r="S152" s="1">
        <v>112.66645799999999</v>
      </c>
      <c r="V152" s="37">
        <v>41091</v>
      </c>
      <c r="W152">
        <f t="shared" si="41"/>
        <v>0.11185453606044481</v>
      </c>
      <c r="X152">
        <f t="shared" si="42"/>
        <v>8.8555559764110919E-2</v>
      </c>
      <c r="Y152">
        <f t="shared" si="44"/>
        <v>4.0269053520323908E-2</v>
      </c>
      <c r="Z152">
        <f t="shared" si="45"/>
        <v>9.5097966707743078E-2</v>
      </c>
      <c r="AA152">
        <f t="shared" si="46"/>
        <v>3.4755621717946515E-2</v>
      </c>
      <c r="AB152">
        <f t="shared" si="47"/>
        <v>0.12472079485180694</v>
      </c>
      <c r="AC152">
        <f t="shared" si="48"/>
        <v>-2.2259717101793104E-2</v>
      </c>
      <c r="AD152">
        <f t="shared" si="49"/>
        <v>5.0090178687931745E-2</v>
      </c>
      <c r="AE152">
        <f t="shared" si="50"/>
        <v>-1.6594499253403949E-2</v>
      </c>
      <c r="AF152">
        <f t="shared" si="51"/>
        <v>-7.4877100100180635E-3</v>
      </c>
      <c r="AG152">
        <f t="shared" si="52"/>
        <v>1.3656882136291971E-2</v>
      </c>
      <c r="AH152">
        <f t="shared" si="53"/>
        <v>0.18580666542641719</v>
      </c>
      <c r="AI152">
        <f t="shared" si="54"/>
        <v>6.5067839784243671E-3</v>
      </c>
      <c r="AJ152">
        <f t="shared" si="43"/>
        <v>5.1416786681701743E-2</v>
      </c>
      <c r="AK152">
        <f t="shared" si="37"/>
        <v>8.919992027225368E-2</v>
      </c>
      <c r="AL152">
        <f t="shared" si="38"/>
        <v>6.4166309472781832E-2</v>
      </c>
      <c r="AM152">
        <f t="shared" si="39"/>
        <v>4.5808824000187751E-2</v>
      </c>
      <c r="AN152">
        <f t="shared" si="40"/>
        <v>-5.7659396730124664E-3</v>
      </c>
    </row>
    <row r="153" spans="1:40">
      <c r="A153" s="37">
        <v>41122</v>
      </c>
      <c r="B153" s="1">
        <v>7.1960859999999993</v>
      </c>
      <c r="C153" s="1">
        <v>6.2938899999999993</v>
      </c>
      <c r="D153" s="1">
        <v>25.944020999999999</v>
      </c>
      <c r="E153" s="1">
        <v>22.077244</v>
      </c>
      <c r="F153" s="1">
        <v>33.922019999999996</v>
      </c>
      <c r="G153" s="1">
        <v>24.265443999999999</v>
      </c>
      <c r="H153" s="1">
        <v>58.322421999999996</v>
      </c>
      <c r="I153" s="1">
        <v>46.080974999999995</v>
      </c>
      <c r="J153" s="1">
        <v>47.298817</v>
      </c>
      <c r="K153" s="1">
        <v>13.065800999999999</v>
      </c>
      <c r="L153" s="1">
        <v>48.485236999999998</v>
      </c>
      <c r="M153" s="1">
        <v>8.1651220000000002</v>
      </c>
      <c r="N153" s="1">
        <v>23.313153999999997</v>
      </c>
      <c r="O153" s="1">
        <v>24.159845000000001</v>
      </c>
      <c r="P153" s="1">
        <v>19.951242000000001</v>
      </c>
      <c r="Q153" s="1">
        <v>12.413499999999999</v>
      </c>
      <c r="R153" s="1">
        <v>24.501365999999997</v>
      </c>
      <c r="S153" s="1">
        <v>112.01683</v>
      </c>
      <c r="V153" s="37">
        <v>41122</v>
      </c>
      <c r="W153">
        <f t="shared" si="41"/>
        <v>0.19939436521464579</v>
      </c>
      <c r="X153">
        <f t="shared" si="42"/>
        <v>0.10513148466210889</v>
      </c>
      <c r="Y153">
        <f t="shared" si="44"/>
        <v>8.9930123013699334E-2</v>
      </c>
      <c r="Z153">
        <f t="shared" si="45"/>
        <v>0.10172420071998114</v>
      </c>
      <c r="AA153">
        <f t="shared" si="46"/>
        <v>9.2309656087697783E-3</v>
      </c>
      <c r="AB153">
        <f t="shared" si="47"/>
        <v>-6.6732881541339148E-2</v>
      </c>
      <c r="AC153">
        <f t="shared" si="48"/>
        <v>9.7989500504625932E-2</v>
      </c>
      <c r="AD153">
        <f t="shared" si="49"/>
        <v>3.2296582266325792E-2</v>
      </c>
      <c r="AE153">
        <f t="shared" si="50"/>
        <v>0.15916742695699973</v>
      </c>
      <c r="AF153">
        <f t="shared" si="51"/>
        <v>5.1111217750829066E-2</v>
      </c>
      <c r="AG153">
        <f t="shared" si="52"/>
        <v>-2.4699848327027877E-2</v>
      </c>
      <c r="AH153">
        <f t="shared" si="53"/>
        <v>6.2023935465997868E-2</v>
      </c>
      <c r="AI153">
        <f t="shared" si="54"/>
        <v>2.1309128743369547E-2</v>
      </c>
      <c r="AJ153">
        <f t="shared" si="43"/>
        <v>1.7830660751341643E-2</v>
      </c>
      <c r="AK153">
        <f t="shared" si="37"/>
        <v>7.1017132667729899E-3</v>
      </c>
      <c r="AL153">
        <f t="shared" si="38"/>
        <v>2.4368630926007995E-2</v>
      </c>
      <c r="AM153">
        <f t="shared" si="39"/>
        <v>-2.7996234985428886E-2</v>
      </c>
      <c r="AN153">
        <f t="shared" si="40"/>
        <v>6.9210831979444443E-2</v>
      </c>
    </row>
    <row r="154" spans="1:40">
      <c r="A154" s="37">
        <v>41153</v>
      </c>
      <c r="B154" s="1">
        <v>8.6309449999999988</v>
      </c>
      <c r="C154" s="1">
        <v>6.9555759999999998</v>
      </c>
      <c r="D154" s="1">
        <v>28.277169999999998</v>
      </c>
      <c r="E154" s="1">
        <v>24.323034</v>
      </c>
      <c r="F154" s="1">
        <v>34.235152999999997</v>
      </c>
      <c r="G154" s="1">
        <v>22.646141</v>
      </c>
      <c r="H154" s="1">
        <v>64.037407000000002</v>
      </c>
      <c r="I154" s="1">
        <v>47.569232999999997</v>
      </c>
      <c r="J154" s="1">
        <v>54.827247999999997</v>
      </c>
      <c r="K154" s="1">
        <v>13.733609999999999</v>
      </c>
      <c r="L154" s="1">
        <v>47.287658999999998</v>
      </c>
      <c r="M154" s="1">
        <v>8.6715549999999997</v>
      </c>
      <c r="N154" s="1">
        <v>23.809936999999998</v>
      </c>
      <c r="O154" s="1">
        <v>24.590630999999998</v>
      </c>
      <c r="P154" s="1">
        <v>20.092929999999999</v>
      </c>
      <c r="Q154" s="1">
        <v>12.715999999999999</v>
      </c>
      <c r="R154" s="1">
        <v>23.81542</v>
      </c>
      <c r="S154" s="1">
        <v>119.76960799999999</v>
      </c>
      <c r="V154" s="37">
        <v>41153</v>
      </c>
      <c r="W154">
        <f t="shared" si="41"/>
        <v>6.7772300715622721E-2</v>
      </c>
      <c r="X154">
        <f t="shared" si="42"/>
        <v>5.6813267513718506E-2</v>
      </c>
      <c r="Y154">
        <f t="shared" si="44"/>
        <v>2.9644020246722046E-2</v>
      </c>
      <c r="Z154">
        <f t="shared" si="45"/>
        <v>0.14272582112905816</v>
      </c>
      <c r="AA154">
        <f t="shared" si="46"/>
        <v>1.3547186425602283E-3</v>
      </c>
      <c r="AB154">
        <f t="shared" si="47"/>
        <v>1.7141419370302363E-2</v>
      </c>
      <c r="AC154">
        <f t="shared" si="48"/>
        <v>4.1882832638741929E-2</v>
      </c>
      <c r="AD154">
        <f t="shared" si="49"/>
        <v>-1.730320099968811E-3</v>
      </c>
      <c r="AE154">
        <f t="shared" si="50"/>
        <v>-8.4343354238753665E-2</v>
      </c>
      <c r="AF154">
        <f t="shared" si="51"/>
        <v>8.0488669767100223E-4</v>
      </c>
      <c r="AG154">
        <f t="shared" si="52"/>
        <v>-1.5652329078079293E-2</v>
      </c>
      <c r="AH154">
        <f t="shared" si="53"/>
        <v>-0.16188515208633283</v>
      </c>
      <c r="AI154">
        <f t="shared" si="54"/>
        <v>-2.4326523837505297E-2</v>
      </c>
      <c r="AJ154">
        <f t="shared" si="43"/>
        <v>-2.3998286176552284E-2</v>
      </c>
      <c r="AK154">
        <f t="shared" si="37"/>
        <v>-0.10760008619947416</v>
      </c>
      <c r="AL154">
        <f t="shared" si="38"/>
        <v>-8.4263919471531959E-2</v>
      </c>
      <c r="AM154">
        <f t="shared" si="39"/>
        <v>-4.0994238186855422E-2</v>
      </c>
      <c r="AN154">
        <f t="shared" si="40"/>
        <v>-6.2279881553924783E-2</v>
      </c>
    </row>
    <row r="155" spans="1:40">
      <c r="A155" s="37">
        <v>41183</v>
      </c>
      <c r="B155" s="1">
        <v>9.2158839999999991</v>
      </c>
      <c r="C155" s="1">
        <v>7.3507449999999999</v>
      </c>
      <c r="D155" s="1">
        <v>29.115418999999999</v>
      </c>
      <c r="E155" s="1">
        <v>27.794559</v>
      </c>
      <c r="F155" s="1">
        <v>34.281531999999999</v>
      </c>
      <c r="G155" s="1">
        <v>23.034327999999999</v>
      </c>
      <c r="H155" s="1">
        <v>66.719475000000003</v>
      </c>
      <c r="I155" s="1">
        <v>47.486922999999997</v>
      </c>
      <c r="J155" s="1">
        <v>50.202933999999999</v>
      </c>
      <c r="K155" s="1">
        <v>13.744664</v>
      </c>
      <c r="L155" s="1">
        <v>46.547497</v>
      </c>
      <c r="M155" s="1">
        <v>7.2677589999999999</v>
      </c>
      <c r="N155" s="1">
        <v>23.230723999999999</v>
      </c>
      <c r="O155" s="1">
        <v>24.000498</v>
      </c>
      <c r="P155" s="1">
        <v>17.930928999999999</v>
      </c>
      <c r="Q155" s="1">
        <v>11.644499999999999</v>
      </c>
      <c r="R155" s="1">
        <v>22.839124999999999</v>
      </c>
      <c r="S155" s="1">
        <v>112.31037099999999</v>
      </c>
      <c r="V155" s="37">
        <v>41183</v>
      </c>
      <c r="W155">
        <f t="shared" si="41"/>
        <v>6.8872069136286906E-2</v>
      </c>
      <c r="X155">
        <f t="shared" si="42"/>
        <v>5.7940521675013817E-2</v>
      </c>
      <c r="Y155">
        <f t="shared" si="44"/>
        <v>-7.1166415293560034E-3</v>
      </c>
      <c r="Z155">
        <f t="shared" si="45"/>
        <v>-7.542123622108915E-2</v>
      </c>
      <c r="AA155">
        <f t="shared" si="46"/>
        <v>2.7777055004426388E-2</v>
      </c>
      <c r="AB155">
        <f t="shared" si="47"/>
        <v>1.6549430050661836E-2</v>
      </c>
      <c r="AC155">
        <f t="shared" si="48"/>
        <v>-1.6268848038747473E-2</v>
      </c>
      <c r="AD155">
        <f t="shared" si="49"/>
        <v>1.6802941727767827E-2</v>
      </c>
      <c r="AE155">
        <f t="shared" si="50"/>
        <v>3.7662081662398407E-2</v>
      </c>
      <c r="AF155">
        <f t="shared" si="51"/>
        <v>6.0315770541934611E-3</v>
      </c>
      <c r="AG155">
        <f t="shared" si="52"/>
        <v>2.2549225364361884E-3</v>
      </c>
      <c r="AH155">
        <f t="shared" si="53"/>
        <v>-8.557658557472805E-3</v>
      </c>
      <c r="AI155">
        <f t="shared" si="54"/>
        <v>-2.0184175060579315E-2</v>
      </c>
      <c r="AJ155">
        <f t="shared" si="43"/>
        <v>3.1079355103381529E-2</v>
      </c>
      <c r="AK155">
        <f t="shared" si="37"/>
        <v>-1.6865383829248355E-2</v>
      </c>
      <c r="AL155">
        <f t="shared" si="38"/>
        <v>8.227059985400835E-2</v>
      </c>
      <c r="AM155">
        <f t="shared" si="39"/>
        <v>-6.7274468702281751E-2</v>
      </c>
      <c r="AN155">
        <f t="shared" si="40"/>
        <v>-2.2926823026877829E-2</v>
      </c>
    </row>
    <row r="156" spans="1:40">
      <c r="A156" s="37">
        <v>41214</v>
      </c>
      <c r="B156" s="1">
        <v>9.8506009999999993</v>
      </c>
      <c r="C156" s="1">
        <v>7.7766509999999993</v>
      </c>
      <c r="D156" s="1">
        <v>28.908214999999998</v>
      </c>
      <c r="E156" s="1">
        <v>25.698259</v>
      </c>
      <c r="F156" s="1">
        <v>35.233772000000002</v>
      </c>
      <c r="G156" s="1">
        <v>23.415533</v>
      </c>
      <c r="H156" s="1">
        <v>65.634025999999992</v>
      </c>
      <c r="I156" s="1">
        <v>48.284842999999995</v>
      </c>
      <c r="J156" s="1">
        <v>52.093680999999997</v>
      </c>
      <c r="K156" s="1">
        <v>13.827565999999999</v>
      </c>
      <c r="L156" s="1">
        <v>46.652457999999996</v>
      </c>
      <c r="M156" s="1">
        <v>7.2055639999999999</v>
      </c>
      <c r="N156" s="1">
        <v>22.761830999999997</v>
      </c>
      <c r="O156" s="1">
        <v>24.746417999999998</v>
      </c>
      <c r="P156" s="1">
        <v>17.628516999999999</v>
      </c>
      <c r="Q156" s="1">
        <v>12.602499999999999</v>
      </c>
      <c r="R156" s="1">
        <v>21.302634999999999</v>
      </c>
      <c r="S156" s="1">
        <v>109.735451</v>
      </c>
      <c r="V156" s="37">
        <v>41214</v>
      </c>
      <c r="W156">
        <f t="shared" si="41"/>
        <v>9.8629718125828117E-2</v>
      </c>
      <c r="X156">
        <f t="shared" si="42"/>
        <v>0.17748436955702396</v>
      </c>
      <c r="Y156">
        <f t="shared" si="44"/>
        <v>7.0351178722034516E-2</v>
      </c>
      <c r="Z156">
        <f t="shared" si="45"/>
        <v>0.14465127773830896</v>
      </c>
      <c r="AA156">
        <f t="shared" si="46"/>
        <v>2.1155838778771585E-2</v>
      </c>
      <c r="AB156">
        <f t="shared" si="47"/>
        <v>8.2686565366672481E-3</v>
      </c>
      <c r="AC156">
        <f t="shared" si="48"/>
        <v>2.8197721712210657E-2</v>
      </c>
      <c r="AD156">
        <f t="shared" si="49"/>
        <v>-2.778176165965781E-2</v>
      </c>
      <c r="AE156">
        <f t="shared" si="50"/>
        <v>2.8646871777020404E-2</v>
      </c>
      <c r="AF156">
        <f t="shared" si="51"/>
        <v>1.1402440603067889E-2</v>
      </c>
      <c r="AG156">
        <f t="shared" si="52"/>
        <v>2.8264963016525282E-2</v>
      </c>
      <c r="AH156">
        <f t="shared" si="53"/>
        <v>5.1787896131378422E-2</v>
      </c>
      <c r="AI156">
        <f t="shared" si="54"/>
        <v>4.2124554918275298E-2</v>
      </c>
      <c r="AJ156">
        <f t="shared" si="43"/>
        <v>1.5045813903248609E-2</v>
      </c>
      <c r="AK156">
        <f t="shared" si="37"/>
        <v>-8.6589643360244148E-2</v>
      </c>
      <c r="AL156">
        <f t="shared" si="38"/>
        <v>-4.6816107915095637E-3</v>
      </c>
      <c r="AM156">
        <f t="shared" si="39"/>
        <v>1.1625885717893671E-2</v>
      </c>
      <c r="AN156">
        <f t="shared" si="40"/>
        <v>1.219689706291905E-2</v>
      </c>
    </row>
    <row r="157" spans="1:40">
      <c r="A157" s="37">
        <v>41244</v>
      </c>
      <c r="B157" s="1">
        <v>10.822163</v>
      </c>
      <c r="C157" s="1">
        <v>9.1568849999999991</v>
      </c>
      <c r="D157" s="1">
        <v>30.941941999999997</v>
      </c>
      <c r="E157" s="1">
        <v>29.415544999999998</v>
      </c>
      <c r="F157" s="1">
        <v>35.979171999999998</v>
      </c>
      <c r="G157" s="1">
        <v>23.609147999999998</v>
      </c>
      <c r="H157" s="1">
        <v>67.48475599999999</v>
      </c>
      <c r="I157" s="1">
        <v>46.943404999999998</v>
      </c>
      <c r="J157" s="1">
        <v>53.586002000000001</v>
      </c>
      <c r="K157" s="1">
        <v>13.985234</v>
      </c>
      <c r="L157" s="1">
        <v>47.971087999999995</v>
      </c>
      <c r="M157" s="1">
        <v>7.5787249999999995</v>
      </c>
      <c r="N157" s="1">
        <v>23.720662999999998</v>
      </c>
      <c r="O157" s="1">
        <v>25.118748</v>
      </c>
      <c r="P157" s="1">
        <v>16.102069999999998</v>
      </c>
      <c r="Q157" s="1">
        <v>12.5435</v>
      </c>
      <c r="R157" s="1">
        <v>21.550297</v>
      </c>
      <c r="S157" s="1">
        <v>111.073883</v>
      </c>
      <c r="V157" s="37">
        <v>41244</v>
      </c>
      <c r="W157">
        <f t="shared" si="41"/>
        <v>0.10623513986991327</v>
      </c>
      <c r="X157">
        <f t="shared" si="42"/>
        <v>-2.3993421343611872E-2</v>
      </c>
      <c r="Y157">
        <f t="shared" si="44"/>
        <v>7.0047639543762447E-2</v>
      </c>
      <c r="Z157">
        <f t="shared" si="45"/>
        <v>6.5722902635324348E-2</v>
      </c>
      <c r="AA157">
        <f t="shared" si="46"/>
        <v>3.1321621298010902E-2</v>
      </c>
      <c r="AB157">
        <f t="shared" si="47"/>
        <v>1.779547487270625E-2</v>
      </c>
      <c r="AC157">
        <f t="shared" si="48"/>
        <v>9.4223056833753732E-2</v>
      </c>
      <c r="AD157">
        <f t="shared" si="49"/>
        <v>0.10708494622407562</v>
      </c>
      <c r="AE157">
        <f t="shared" si="50"/>
        <v>4.598508767270975E-2</v>
      </c>
      <c r="AF157">
        <f t="shared" si="51"/>
        <v>8.7719662037832172E-2</v>
      </c>
      <c r="AG157">
        <f t="shared" si="52"/>
        <v>2.3137915904679972E-2</v>
      </c>
      <c r="AH157">
        <f t="shared" si="53"/>
        <v>3.8687114257345459E-2</v>
      </c>
      <c r="AI157">
        <f t="shared" si="54"/>
        <v>1.9016922081815386E-2</v>
      </c>
      <c r="AJ157">
        <f t="shared" si="43"/>
        <v>-9.3679032091886875E-3</v>
      </c>
      <c r="AK157">
        <f t="shared" si="37"/>
        <v>-0.14408942452740539</v>
      </c>
      <c r="AL157">
        <f t="shared" si="38"/>
        <v>5.8317056642882663E-2</v>
      </c>
      <c r="AM157">
        <f t="shared" si="39"/>
        <v>2.7705001003002272E-2</v>
      </c>
      <c r="AN157">
        <f t="shared" si="40"/>
        <v>6.0140906391109007E-2</v>
      </c>
    </row>
    <row r="158" spans="1:40">
      <c r="A158" s="37">
        <v>41275</v>
      </c>
      <c r="B158" s="1">
        <v>11.971857</v>
      </c>
      <c r="C158" s="1">
        <v>8.9371799999999997</v>
      </c>
      <c r="D158" s="1">
        <v>33.109352000000001</v>
      </c>
      <c r="E158" s="1">
        <v>31.34882</v>
      </c>
      <c r="F158" s="1">
        <v>37.106097999999996</v>
      </c>
      <c r="G158" s="1">
        <v>24.029284000000001</v>
      </c>
      <c r="H158" s="1">
        <v>73.843375999999992</v>
      </c>
      <c r="I158" s="1">
        <v>51.970337000000001</v>
      </c>
      <c r="J158" s="1">
        <v>56.050159000000001</v>
      </c>
      <c r="K158" s="1">
        <v>15.212014</v>
      </c>
      <c r="L158" s="1">
        <v>49.081038999999997</v>
      </c>
      <c r="M158" s="1">
        <v>7.8719239999999999</v>
      </c>
      <c r="N158" s="1">
        <v>24.171756999999999</v>
      </c>
      <c r="O158" s="1">
        <v>24.883437999999998</v>
      </c>
      <c r="P158" s="1">
        <v>13.781931999999999</v>
      </c>
      <c r="Q158" s="1">
        <v>13.274999999999999</v>
      </c>
      <c r="R158" s="1">
        <v>22.147347999999997</v>
      </c>
      <c r="S158" s="1">
        <v>117.75396699999999</v>
      </c>
      <c r="V158" s="37">
        <v>41275</v>
      </c>
      <c r="W158">
        <f t="shared" si="41"/>
        <v>-3.1837416701519336E-2</v>
      </c>
      <c r="X158">
        <f t="shared" si="42"/>
        <v>-7.9506063433880097E-3</v>
      </c>
      <c r="Y158">
        <f t="shared" si="44"/>
        <v>4.6887598404221131E-2</v>
      </c>
      <c r="Z158">
        <f t="shared" si="45"/>
        <v>-4.2690283079236217E-3</v>
      </c>
      <c r="AA158">
        <f t="shared" si="46"/>
        <v>-4.4469240608376627E-3</v>
      </c>
      <c r="AB158">
        <f t="shared" si="47"/>
        <v>4.0243313117444508E-2</v>
      </c>
      <c r="AC158">
        <f t="shared" si="48"/>
        <v>-6.6234458186202036E-2</v>
      </c>
      <c r="AD158">
        <f t="shared" si="49"/>
        <v>2.1788698426181027E-2</v>
      </c>
      <c r="AE158">
        <f t="shared" si="50"/>
        <v>2.4339609812703614E-2</v>
      </c>
      <c r="AF158">
        <f t="shared" si="51"/>
        <v>1.2068093021739211E-2</v>
      </c>
      <c r="AG158">
        <f t="shared" si="52"/>
        <v>6.0483295799830208E-2</v>
      </c>
      <c r="AH158">
        <f t="shared" si="53"/>
        <v>9.1421614334691217E-2</v>
      </c>
      <c r="AI158">
        <f t="shared" si="54"/>
        <v>1.4367759861229699E-2</v>
      </c>
      <c r="AJ158">
        <f t="shared" si="43"/>
        <v>-5.8862043098706759E-3</v>
      </c>
      <c r="AK158">
        <f t="shared" si="37"/>
        <v>-3.093347144652869E-2</v>
      </c>
      <c r="AL158">
        <f t="shared" si="38"/>
        <v>-4.6327683615818294E-3</v>
      </c>
      <c r="AM158">
        <f t="shared" si="39"/>
        <v>1.2750646262478134E-2</v>
      </c>
      <c r="AN158">
        <f t="shared" si="40"/>
        <v>-1.1030660223956559E-2</v>
      </c>
    </row>
    <row r="159" spans="1:40">
      <c r="A159" s="37">
        <v>41306</v>
      </c>
      <c r="B159" s="1">
        <v>11.590703999999999</v>
      </c>
      <c r="C159" s="1">
        <v>8.8661239999999992</v>
      </c>
      <c r="D159" s="1">
        <v>34.661769999999997</v>
      </c>
      <c r="E159" s="1">
        <v>31.214990999999998</v>
      </c>
      <c r="F159" s="1">
        <v>36.941089999999996</v>
      </c>
      <c r="G159" s="1">
        <v>24.996302</v>
      </c>
      <c r="H159" s="1">
        <v>68.952399999999997</v>
      </c>
      <c r="I159" s="1">
        <v>53.102702999999998</v>
      </c>
      <c r="J159" s="1">
        <v>57.414397999999998</v>
      </c>
      <c r="K159" s="1">
        <v>15.395593999999999</v>
      </c>
      <c r="L159" s="1">
        <v>52.049621999999999</v>
      </c>
      <c r="M159" s="1">
        <v>8.5915879999999998</v>
      </c>
      <c r="N159" s="1">
        <v>24.519050999999997</v>
      </c>
      <c r="O159" s="1">
        <v>24.736968999999998</v>
      </c>
      <c r="P159" s="1">
        <v>13.355608999999999</v>
      </c>
      <c r="Q159" s="1">
        <v>13.2135</v>
      </c>
      <c r="R159" s="1">
        <v>22.429741</v>
      </c>
      <c r="S159" s="1">
        <v>116.455063</v>
      </c>
      <c r="V159" s="37">
        <v>41306</v>
      </c>
      <c r="W159">
        <f t="shared" si="41"/>
        <v>-3.2041625771825434E-2</v>
      </c>
      <c r="X159">
        <f t="shared" si="42"/>
        <v>8.5570537926155876E-2</v>
      </c>
      <c r="Y159">
        <f t="shared" si="44"/>
        <v>-2.9845244486937646E-2</v>
      </c>
      <c r="Z159">
        <f t="shared" si="45"/>
        <v>5.4086031932541766E-2</v>
      </c>
      <c r="AA159">
        <f t="shared" si="46"/>
        <v>1.1570340777708576E-2</v>
      </c>
      <c r="AB159">
        <f t="shared" si="47"/>
        <v>1.800482327345853E-2</v>
      </c>
      <c r="AC159">
        <f t="shared" si="48"/>
        <v>-2.1063139209077562E-2</v>
      </c>
      <c r="AD159">
        <f t="shared" si="49"/>
        <v>1.1551201075395326E-2</v>
      </c>
      <c r="AE159">
        <f t="shared" si="50"/>
        <v>2.8843705719948529E-2</v>
      </c>
      <c r="AF159">
        <f t="shared" si="51"/>
        <v>5.4438756958646771E-2</v>
      </c>
      <c r="AG159">
        <f t="shared" si="52"/>
        <v>8.5438257361407935E-2</v>
      </c>
      <c r="AH159">
        <f t="shared" si="53"/>
        <v>1.3443847633289633E-2</v>
      </c>
      <c r="AI159">
        <f t="shared" si="54"/>
        <v>5.4446723896450978E-2</v>
      </c>
      <c r="AJ159">
        <f t="shared" si="43"/>
        <v>1.1909583587221183E-2</v>
      </c>
      <c r="AK159">
        <f t="shared" si="37"/>
        <v>8.6993412280937377E-3</v>
      </c>
      <c r="AL159">
        <f t="shared" si="38"/>
        <v>8.4004994891587297E-3</v>
      </c>
      <c r="AM159">
        <f t="shared" si="39"/>
        <v>3.7657278343071275E-2</v>
      </c>
      <c r="AN159">
        <f t="shared" si="40"/>
        <v>6.6562773659742003E-2</v>
      </c>
    </row>
    <row r="160" spans="1:40">
      <c r="A160" s="37">
        <v>41334</v>
      </c>
      <c r="B160" s="1">
        <v>11.219318999999999</v>
      </c>
      <c r="C160" s="1">
        <v>9.624803</v>
      </c>
      <c r="D160" s="1">
        <v>33.627280999999996</v>
      </c>
      <c r="E160" s="1">
        <v>32.903286000000001</v>
      </c>
      <c r="F160" s="1">
        <v>37.368510999999998</v>
      </c>
      <c r="G160" s="1">
        <v>25.446355999999998</v>
      </c>
      <c r="H160" s="1">
        <v>67.500045999999998</v>
      </c>
      <c r="I160" s="1">
        <v>53.716102999999997</v>
      </c>
      <c r="J160" s="1">
        <v>59.070442</v>
      </c>
      <c r="K160" s="1">
        <v>16.233711</v>
      </c>
      <c r="L160" s="1">
        <v>56.496651</v>
      </c>
      <c r="M160" s="1">
        <v>8.7070919999999994</v>
      </c>
      <c r="N160" s="1">
        <v>25.854032999999998</v>
      </c>
      <c r="O160" s="1">
        <v>25.031575999999998</v>
      </c>
      <c r="P160" s="1">
        <v>13.471793999999999</v>
      </c>
      <c r="Q160" s="1">
        <v>13.324499999999999</v>
      </c>
      <c r="R160" s="1">
        <v>23.274383999999998</v>
      </c>
      <c r="S160" s="1">
        <v>124.20663499999999</v>
      </c>
      <c r="V160" s="37">
        <v>41334</v>
      </c>
      <c r="W160">
        <f t="shared" si="41"/>
        <v>1.2387115474655843E-2</v>
      </c>
      <c r="X160">
        <f t="shared" si="42"/>
        <v>1.0672945721590303E-2</v>
      </c>
      <c r="Y160">
        <f t="shared" si="44"/>
        <v>3.2659762173456688E-2</v>
      </c>
      <c r="Z160">
        <f t="shared" si="45"/>
        <v>5.4701466595160141E-2</v>
      </c>
      <c r="AA160">
        <f t="shared" si="46"/>
        <v>-3.8123809642829853E-3</v>
      </c>
      <c r="AB160">
        <f t="shared" si="47"/>
        <v>7.1069154263188092E-2</v>
      </c>
      <c r="AC160">
        <f t="shared" si="48"/>
        <v>4.4746191728521192E-2</v>
      </c>
      <c r="AD160">
        <f t="shared" si="49"/>
        <v>-3.7630056670343516E-3</v>
      </c>
      <c r="AE160">
        <f t="shared" si="50"/>
        <v>-7.0276179751626089E-2</v>
      </c>
      <c r="AF160">
        <f t="shared" si="51"/>
        <v>7.2762167565999618E-3</v>
      </c>
      <c r="AG160">
        <f t="shared" si="52"/>
        <v>1.4082604648548097E-2</v>
      </c>
      <c r="AH160">
        <f t="shared" si="53"/>
        <v>-9.5918132023871977E-2</v>
      </c>
      <c r="AI160">
        <f t="shared" si="54"/>
        <v>2.6764373666576576E-2</v>
      </c>
      <c r="AJ160">
        <f t="shared" si="43"/>
        <v>-1.6452659632777315E-2</v>
      </c>
      <c r="AK160">
        <f t="shared" si="37"/>
        <v>2.7093644692016336E-4</v>
      </c>
      <c r="AL160">
        <f t="shared" si="38"/>
        <v>-4.758152275882762E-2</v>
      </c>
      <c r="AM160">
        <f t="shared" si="39"/>
        <v>0.15693807406460264</v>
      </c>
      <c r="AN160">
        <f t="shared" si="40"/>
        <v>-5.0445421051781923E-2</v>
      </c>
    </row>
    <row r="161" spans="1:40">
      <c r="A161" s="37">
        <v>41365</v>
      </c>
      <c r="B161" s="1">
        <v>11.358293999999999</v>
      </c>
      <c r="C161" s="1">
        <v>9.7275279999999995</v>
      </c>
      <c r="D161" s="1">
        <v>34.725539999999995</v>
      </c>
      <c r="E161" s="1">
        <v>34.703144000000002</v>
      </c>
      <c r="F161" s="1">
        <v>37.226047999999999</v>
      </c>
      <c r="G161" s="1">
        <v>27.254807</v>
      </c>
      <c r="H161" s="1">
        <v>70.520415999999997</v>
      </c>
      <c r="I161" s="1">
        <v>53.513968999999996</v>
      </c>
      <c r="J161" s="1">
        <v>54.919196999999997</v>
      </c>
      <c r="K161" s="1">
        <v>16.351831000000001</v>
      </c>
      <c r="L161" s="1">
        <v>57.292271</v>
      </c>
      <c r="M161" s="1">
        <v>7.8719239999999999</v>
      </c>
      <c r="N161" s="1">
        <v>26.545999999999999</v>
      </c>
      <c r="O161" s="1">
        <v>24.61974</v>
      </c>
      <c r="P161" s="1">
        <v>13.475444</v>
      </c>
      <c r="Q161" s="1">
        <v>12.6905</v>
      </c>
      <c r="R161" s="1">
        <v>26.927021</v>
      </c>
      <c r="S161" s="1">
        <v>117.940979</v>
      </c>
      <c r="V161" s="37">
        <v>41365</v>
      </c>
      <c r="W161">
        <f t="shared" si="41"/>
        <v>6.729743040636206E-2</v>
      </c>
      <c r="X161">
        <f t="shared" si="42"/>
        <v>0.1096670192057016</v>
      </c>
      <c r="Y161">
        <f t="shared" si="44"/>
        <v>0.12081885551671775</v>
      </c>
      <c r="Z161">
        <f t="shared" si="45"/>
        <v>0.11423037059696942</v>
      </c>
      <c r="AA161">
        <f t="shared" si="46"/>
        <v>-4.673947661594368E-2</v>
      </c>
      <c r="AB161">
        <f t="shared" si="47"/>
        <v>8.3856510156171682E-2</v>
      </c>
      <c r="AC161">
        <f t="shared" si="48"/>
        <v>-2.4524259754792152E-2</v>
      </c>
      <c r="AD161">
        <f t="shared" si="49"/>
        <v>7.2157421177263857E-3</v>
      </c>
      <c r="AE161">
        <f t="shared" si="50"/>
        <v>5.8949951507848923E-2</v>
      </c>
      <c r="AF161">
        <f t="shared" si="51"/>
        <v>-6.3295113556396318E-2</v>
      </c>
      <c r="AG161">
        <f t="shared" si="52"/>
        <v>0.10999169504033098</v>
      </c>
      <c r="AH161">
        <f t="shared" si="53"/>
        <v>0.19300199036474436</v>
      </c>
      <c r="AI161">
        <f t="shared" si="54"/>
        <v>6.7667030814435244E-2</v>
      </c>
      <c r="AJ161">
        <f t="shared" si="43"/>
        <v>-3.2928454971499674E-3</v>
      </c>
      <c r="AK161">
        <f t="shared" si="37"/>
        <v>1.5696477236668463E-2</v>
      </c>
      <c r="AL161">
        <f t="shared" si="38"/>
        <v>6.0635908750640163E-2</v>
      </c>
      <c r="AM161">
        <f t="shared" si="39"/>
        <v>5.4380839232085795E-2</v>
      </c>
      <c r="AN161">
        <f t="shared" si="40"/>
        <v>2.7056312632439614E-2</v>
      </c>
    </row>
    <row r="162" spans="1:40">
      <c r="A162" s="37">
        <v>41395</v>
      </c>
      <c r="B162" s="1">
        <v>12.122677999999999</v>
      </c>
      <c r="C162" s="1">
        <v>10.794316999999999</v>
      </c>
      <c r="D162" s="1">
        <v>38.921039999999998</v>
      </c>
      <c r="E162" s="1">
        <v>38.667296999999998</v>
      </c>
      <c r="F162" s="1">
        <v>35.486122000000002</v>
      </c>
      <c r="G162" s="1">
        <v>29.540299999999998</v>
      </c>
      <c r="H162" s="1">
        <v>68.790954999999997</v>
      </c>
      <c r="I162" s="1">
        <v>53.900112</v>
      </c>
      <c r="J162" s="1">
        <v>58.156680999999999</v>
      </c>
      <c r="K162" s="1">
        <v>15.316839999999999</v>
      </c>
      <c r="L162" s="1">
        <v>63.593944999999998</v>
      </c>
      <c r="M162" s="1">
        <v>9.3912209999999998</v>
      </c>
      <c r="N162" s="1">
        <v>28.342288999999997</v>
      </c>
      <c r="O162" s="1">
        <v>24.538670999999997</v>
      </c>
      <c r="P162" s="1">
        <v>13.686961</v>
      </c>
      <c r="Q162" s="1">
        <v>13.459999999999999</v>
      </c>
      <c r="R162" s="1">
        <v>28.391334999999998</v>
      </c>
      <c r="S162" s="1">
        <v>121.13202699999999</v>
      </c>
      <c r="V162" s="37">
        <v>41395</v>
      </c>
      <c r="W162">
        <f t="shared" si="41"/>
        <v>-0.10478188070325715</v>
      </c>
      <c r="X162">
        <f t="shared" si="42"/>
        <v>-5.8564891136697217E-2</v>
      </c>
      <c r="Y162">
        <f t="shared" si="44"/>
        <v>-3.2973425170550477E-2</v>
      </c>
      <c r="Z162">
        <f t="shared" si="45"/>
        <v>-7.7121165205832745E-2</v>
      </c>
      <c r="AA162">
        <f t="shared" si="46"/>
        <v>-1.7772581630644373E-2</v>
      </c>
      <c r="AB162">
        <f t="shared" si="47"/>
        <v>-7.0332054853877559E-3</v>
      </c>
      <c r="AC162">
        <f t="shared" si="48"/>
        <v>-6.7270718948443164E-2</v>
      </c>
      <c r="AD162">
        <f t="shared" si="49"/>
        <v>2.9964130686778588E-3</v>
      </c>
      <c r="AE162">
        <f t="shared" si="50"/>
        <v>-2.4236458748393835E-2</v>
      </c>
      <c r="AF162">
        <f t="shared" si="51"/>
        <v>3.7219818187041225E-2</v>
      </c>
      <c r="AG162">
        <f t="shared" si="52"/>
        <v>-1.2547955626907617E-2</v>
      </c>
      <c r="AH162">
        <f t="shared" si="53"/>
        <v>4.6357976241853859E-2</v>
      </c>
      <c r="AI162">
        <f t="shared" si="54"/>
        <v>2.5769195988369274E-2</v>
      </c>
      <c r="AJ162">
        <f t="shared" si="43"/>
        <v>-5.9367110794222595E-3</v>
      </c>
      <c r="AK162">
        <f t="shared" si="37"/>
        <v>-0.11245703118464363</v>
      </c>
      <c r="AL162">
        <f t="shared" si="38"/>
        <v>3.1537890044576536E-2</v>
      </c>
      <c r="AM162">
        <f t="shared" si="39"/>
        <v>-3.3755017155762844E-3</v>
      </c>
      <c r="AN162">
        <f t="shared" si="40"/>
        <v>-7.6983925976901263E-2</v>
      </c>
    </row>
    <row r="163" spans="1:40">
      <c r="A163" s="37">
        <v>41426</v>
      </c>
      <c r="B163" s="1">
        <v>10.852440999999999</v>
      </c>
      <c r="C163" s="1">
        <v>10.162148999999999</v>
      </c>
      <c r="D163" s="1">
        <v>37.637679999999996</v>
      </c>
      <c r="E163" s="1">
        <v>35.685229999999997</v>
      </c>
      <c r="F163" s="1">
        <v>34.855441999999996</v>
      </c>
      <c r="G163" s="1">
        <v>29.332536999999999</v>
      </c>
      <c r="H163" s="1">
        <v>64.163337999999996</v>
      </c>
      <c r="I163" s="1">
        <v>54.061619</v>
      </c>
      <c r="J163" s="1">
        <v>56.747169</v>
      </c>
      <c r="K163" s="1">
        <v>15.88693</v>
      </c>
      <c r="L163" s="1">
        <v>62.795970999999994</v>
      </c>
      <c r="M163" s="1">
        <v>9.8265789999999988</v>
      </c>
      <c r="N163" s="1">
        <v>29.072647</v>
      </c>
      <c r="O163" s="1">
        <v>24.392992</v>
      </c>
      <c r="P163" s="1">
        <v>12.147765999999999</v>
      </c>
      <c r="Q163" s="1">
        <v>13.884499999999999</v>
      </c>
      <c r="R163" s="1">
        <v>28.295499999999997</v>
      </c>
      <c r="S163" s="1">
        <v>111.80680799999999</v>
      </c>
      <c r="V163" s="37">
        <v>41426</v>
      </c>
      <c r="W163">
        <f t="shared" si="41"/>
        <v>2.1028080226374892E-2</v>
      </c>
      <c r="X163">
        <f t="shared" si="42"/>
        <v>0.13615348485836998</v>
      </c>
      <c r="Y163">
        <f t="shared" si="44"/>
        <v>5.5692646305510879E-2</v>
      </c>
      <c r="Z163">
        <f t="shared" si="45"/>
        <v>8.6929017971861269E-2</v>
      </c>
      <c r="AA163">
        <f t="shared" si="46"/>
        <v>7.0480873546231393E-2</v>
      </c>
      <c r="AB163">
        <f t="shared" si="47"/>
        <v>1.2294606497896822E-2</v>
      </c>
      <c r="AC163">
        <f t="shared" si="48"/>
        <v>2.8762951827724492E-2</v>
      </c>
      <c r="AD163">
        <f t="shared" si="49"/>
        <v>4.2992811591528547E-2</v>
      </c>
      <c r="AE163">
        <f t="shared" si="50"/>
        <v>0.10150915193672479</v>
      </c>
      <c r="AF163">
        <f t="shared" si="51"/>
        <v>4.3555740473458261E-2</v>
      </c>
      <c r="AG163">
        <f t="shared" si="52"/>
        <v>-1.3242712657472787E-2</v>
      </c>
      <c r="AH163">
        <f t="shared" si="53"/>
        <v>0.10126596448265471</v>
      </c>
      <c r="AI163">
        <f t="shared" si="54"/>
        <v>5.4034708294707363E-2</v>
      </c>
      <c r="AJ163">
        <f t="shared" si="43"/>
        <v>4.7405459732041091E-2</v>
      </c>
      <c r="AK163">
        <f t="shared" si="37"/>
        <v>0.14122440290667446</v>
      </c>
      <c r="AL163">
        <f t="shared" si="38"/>
        <v>8.4734776189275871E-2</v>
      </c>
      <c r="AM163">
        <f t="shared" si="39"/>
        <v>-7.8170203742644578E-2</v>
      </c>
      <c r="AN163">
        <f t="shared" si="40"/>
        <v>2.0563926661782559E-2</v>
      </c>
    </row>
    <row r="164" spans="1:40">
      <c r="A164" s="37">
        <v>41456</v>
      </c>
      <c r="B164" s="1">
        <v>11.080646999999999</v>
      </c>
      <c r="C164" s="1">
        <v>11.545760999999999</v>
      </c>
      <c r="D164" s="1">
        <v>39.733821999999996</v>
      </c>
      <c r="E164" s="1">
        <v>38.787312</v>
      </c>
      <c r="F164" s="1">
        <v>37.312083999999999</v>
      </c>
      <c r="G164" s="1">
        <v>29.693168999999997</v>
      </c>
      <c r="H164" s="1">
        <v>66.008865</v>
      </c>
      <c r="I164" s="1">
        <v>56.38588</v>
      </c>
      <c r="J164" s="1">
        <v>62.507525999999999</v>
      </c>
      <c r="K164" s="1">
        <v>16.578896999999998</v>
      </c>
      <c r="L164" s="1">
        <v>61.964382000000001</v>
      </c>
      <c r="M164" s="1">
        <v>10.821676999999999</v>
      </c>
      <c r="N164" s="1">
        <v>30.643578999999999</v>
      </c>
      <c r="O164" s="1">
        <v>25.549353</v>
      </c>
      <c r="P164" s="1">
        <v>13.863327</v>
      </c>
      <c r="Q164" s="1">
        <v>15.061</v>
      </c>
      <c r="R164" s="1">
        <v>26.083634999999997</v>
      </c>
      <c r="S164" s="1">
        <v>114.10599499999999</v>
      </c>
      <c r="V164" s="37">
        <v>41456</v>
      </c>
      <c r="W164">
        <f t="shared" si="41"/>
        <v>-5.7216875512772767E-4</v>
      </c>
      <c r="X164">
        <f t="shared" si="42"/>
        <v>-3.2876654903908002E-2</v>
      </c>
      <c r="Y164">
        <f t="shared" si="44"/>
        <v>-8.6695133430657531E-2</v>
      </c>
      <c r="Z164">
        <f t="shared" si="45"/>
        <v>-7.3072323238073375E-2</v>
      </c>
      <c r="AA164">
        <f t="shared" si="46"/>
        <v>2.2932088167468698E-2</v>
      </c>
      <c r="AB164">
        <f t="shared" si="47"/>
        <v>-8.0884798789916973E-2</v>
      </c>
      <c r="AC164">
        <f t="shared" si="48"/>
        <v>6.8619571022771149E-3</v>
      </c>
      <c r="AD164">
        <f t="shared" si="49"/>
        <v>-2.2746918200088458E-2</v>
      </c>
      <c r="AE164">
        <f t="shared" si="50"/>
        <v>7.5631852714822985E-3</v>
      </c>
      <c r="AF164">
        <f t="shared" si="51"/>
        <v>-2.7025380518378248E-2</v>
      </c>
      <c r="AG164">
        <f t="shared" si="52"/>
        <v>-2.2239776392831694E-2</v>
      </c>
      <c r="AH164">
        <f t="shared" si="53"/>
        <v>-8.4565081733635222E-2</v>
      </c>
      <c r="AI164">
        <f t="shared" si="54"/>
        <v>-5.5632176646206989E-2</v>
      </c>
      <c r="AJ164">
        <f t="shared" si="43"/>
        <v>2.5792707940588546E-2</v>
      </c>
      <c r="AK164">
        <f t="shared" si="37"/>
        <v>7.6657933553756538E-2</v>
      </c>
      <c r="AL164">
        <f t="shared" si="38"/>
        <v>-6.7193413451962059E-2</v>
      </c>
      <c r="AM164">
        <f t="shared" si="39"/>
        <v>4.8994781593899868E-2</v>
      </c>
      <c r="AN164">
        <f t="shared" si="40"/>
        <v>-6.5473878037696442E-2</v>
      </c>
    </row>
    <row r="165" spans="1:40">
      <c r="A165" s="37">
        <v>41487</v>
      </c>
      <c r="B165" s="1">
        <v>11.074306999999999</v>
      </c>
      <c r="C165" s="1">
        <v>11.166174999999999</v>
      </c>
      <c r="D165" s="1">
        <v>36.289093000000001</v>
      </c>
      <c r="E165" s="1">
        <v>35.953032999999998</v>
      </c>
      <c r="F165" s="1">
        <v>38.167727999999997</v>
      </c>
      <c r="G165" s="1">
        <v>27.291442999999997</v>
      </c>
      <c r="H165" s="1">
        <v>66.461815000000001</v>
      </c>
      <c r="I165" s="1">
        <v>55.103274999999996</v>
      </c>
      <c r="J165" s="1">
        <v>62.980281999999995</v>
      </c>
      <c r="K165" s="1">
        <v>16.130845999999998</v>
      </c>
      <c r="L165" s="1">
        <v>60.586307999999995</v>
      </c>
      <c r="M165" s="1">
        <v>9.9065409999999989</v>
      </c>
      <c r="N165" s="1">
        <v>28.93881</v>
      </c>
      <c r="O165" s="1">
        <v>26.20834</v>
      </c>
      <c r="P165" s="1">
        <v>14.926060999999999</v>
      </c>
      <c r="Q165" s="1">
        <v>14.048999999999999</v>
      </c>
      <c r="R165" s="1">
        <v>27.361597</v>
      </c>
      <c r="S165" s="1">
        <v>106.63503299999999</v>
      </c>
      <c r="V165" s="37">
        <v>41487</v>
      </c>
      <c r="W165">
        <f t="shared" si="41"/>
        <v>6.2017605255118916E-2</v>
      </c>
      <c r="X165">
        <f t="shared" si="42"/>
        <v>-2.2662997848412764E-2</v>
      </c>
      <c r="Y165">
        <f t="shared" si="44"/>
        <v>2.2957200941891756E-2</v>
      </c>
      <c r="Z165">
        <f t="shared" si="45"/>
        <v>3.9173051130345447E-3</v>
      </c>
      <c r="AA165">
        <f t="shared" si="46"/>
        <v>6.3504356350474939E-2</v>
      </c>
      <c r="AB165">
        <f t="shared" si="47"/>
        <v>-2.6109026188171867E-2</v>
      </c>
      <c r="AC165">
        <f t="shared" si="48"/>
        <v>-2.6901432047860937E-2</v>
      </c>
      <c r="AD165">
        <f t="shared" si="49"/>
        <v>-2.9528698611833853E-2</v>
      </c>
      <c r="AE165">
        <f t="shared" si="50"/>
        <v>6.2280127612003952E-2</v>
      </c>
      <c r="AF165">
        <f t="shared" si="51"/>
        <v>1.8433379129650176E-2</v>
      </c>
      <c r="AG165">
        <f t="shared" si="52"/>
        <v>5.0200847359769873E-2</v>
      </c>
      <c r="AH165">
        <f t="shared" si="53"/>
        <v>0.12735413904813001</v>
      </c>
      <c r="AI165">
        <f t="shared" si="54"/>
        <v>1.274278382559612E-2</v>
      </c>
      <c r="AJ165">
        <f t="shared" si="43"/>
        <v>5.2151643331855388E-2</v>
      </c>
      <c r="AK165">
        <f t="shared" si="37"/>
        <v>-1.5028211394821408E-2</v>
      </c>
      <c r="AL165">
        <f t="shared" si="38"/>
        <v>0.11267705886539969</v>
      </c>
      <c r="AM165">
        <f t="shared" si="39"/>
        <v>3.428491399825831E-3</v>
      </c>
      <c r="AN165">
        <f t="shared" si="40"/>
        <v>2.1044416050398775E-2</v>
      </c>
    </row>
    <row r="166" spans="1:40">
      <c r="A166" s="37">
        <v>41518</v>
      </c>
      <c r="B166" s="1">
        <v>11.761108999999999</v>
      </c>
      <c r="C166" s="1">
        <v>10.913115999999999</v>
      </c>
      <c r="D166" s="1">
        <v>37.122188999999999</v>
      </c>
      <c r="E166" s="1">
        <v>36.093871999999998</v>
      </c>
      <c r="F166" s="1">
        <v>40.591544999999996</v>
      </c>
      <c r="G166" s="1">
        <v>26.578889999999998</v>
      </c>
      <c r="H166" s="1">
        <v>64.673896999999997</v>
      </c>
      <c r="I166" s="1">
        <v>53.476146999999997</v>
      </c>
      <c r="J166" s="1">
        <v>66.902701999999991</v>
      </c>
      <c r="K166" s="1">
        <v>16.428191999999999</v>
      </c>
      <c r="L166" s="1">
        <v>63.627791999999999</v>
      </c>
      <c r="M166" s="1">
        <v>11.16818</v>
      </c>
      <c r="N166" s="1">
        <v>29.307570999999999</v>
      </c>
      <c r="O166" s="1">
        <v>27.575147999999999</v>
      </c>
      <c r="P166" s="1">
        <v>14.701749</v>
      </c>
      <c r="Q166" s="1">
        <v>15.632</v>
      </c>
      <c r="R166" s="1">
        <v>27.455406</v>
      </c>
      <c r="S166" s="1">
        <v>108.879105</v>
      </c>
      <c r="V166" s="37">
        <v>41518</v>
      </c>
      <c r="W166">
        <f t="shared" si="41"/>
        <v>-1.3497961799350771E-2</v>
      </c>
      <c r="X166">
        <f t="shared" si="42"/>
        <v>1.30296424962403E-2</v>
      </c>
      <c r="Y166">
        <f t="shared" si="44"/>
        <v>-2.9024958630538564E-3</v>
      </c>
      <c r="Z166">
        <f t="shared" si="45"/>
        <v>5.5655430927443869E-3</v>
      </c>
      <c r="AA166">
        <f t="shared" si="46"/>
        <v>4.3100970904162476E-2</v>
      </c>
      <c r="AB166">
        <f t="shared" si="47"/>
        <v>7.1644301172848132E-2</v>
      </c>
      <c r="AC166">
        <f t="shared" si="48"/>
        <v>1.1625061035057258E-2</v>
      </c>
      <c r="AD166">
        <f t="shared" si="49"/>
        <v>6.8263033236108064E-2</v>
      </c>
      <c r="AE166">
        <f t="shared" si="50"/>
        <v>-0.12165906243966039</v>
      </c>
      <c r="AF166">
        <f t="shared" si="51"/>
        <v>6.8221384313015193E-2</v>
      </c>
      <c r="AG166">
        <f t="shared" si="52"/>
        <v>8.3157293907039728E-2</v>
      </c>
      <c r="AH166">
        <f t="shared" si="53"/>
        <v>0.1002386243774725</v>
      </c>
      <c r="AI166">
        <f t="shared" si="54"/>
        <v>3.3155869519176435E-2</v>
      </c>
      <c r="AJ166">
        <f t="shared" si="43"/>
        <v>1.9337375813903181E-2</v>
      </c>
      <c r="AK166">
        <f t="shared" si="37"/>
        <v>9.6381321705329065E-2</v>
      </c>
      <c r="AL166">
        <f t="shared" si="38"/>
        <v>0.16437436028659158</v>
      </c>
      <c r="AM166">
        <f t="shared" si="39"/>
        <v>6.4002477326323193E-2</v>
      </c>
      <c r="AN166">
        <f t="shared" si="40"/>
        <v>-3.223880284467804E-2</v>
      </c>
    </row>
    <row r="167" spans="1:40">
      <c r="A167" s="37">
        <v>41548</v>
      </c>
      <c r="B167" s="1">
        <v>11.602357999999999</v>
      </c>
      <c r="C167" s="1">
        <v>11.055309999999999</v>
      </c>
      <c r="D167" s="1">
        <v>37.014441999999995</v>
      </c>
      <c r="E167" s="1">
        <v>36.294753999999998</v>
      </c>
      <c r="F167" s="1">
        <v>42.341079999999998</v>
      </c>
      <c r="G167" s="1">
        <v>28.483115999999999</v>
      </c>
      <c r="H167" s="1">
        <v>65.425735000000003</v>
      </c>
      <c r="I167" s="1">
        <v>57.126590999999998</v>
      </c>
      <c r="J167" s="1">
        <v>58.763382</v>
      </c>
      <c r="K167" s="1">
        <v>17.548946000000001</v>
      </c>
      <c r="L167" s="1">
        <v>68.91890699999999</v>
      </c>
      <c r="M167" s="1">
        <v>12.287663</v>
      </c>
      <c r="N167" s="1">
        <v>30.279288999999999</v>
      </c>
      <c r="O167" s="1">
        <v>28.108378999999999</v>
      </c>
      <c r="P167" s="1">
        <v>16.118722999999999</v>
      </c>
      <c r="Q167" s="1">
        <v>18.201499999999999</v>
      </c>
      <c r="R167" s="1">
        <v>29.212619999999998</v>
      </c>
      <c r="S167" s="1">
        <v>105.368973</v>
      </c>
      <c r="V167" s="37">
        <v>41548</v>
      </c>
      <c r="W167">
        <f t="shared" si="41"/>
        <v>5.7703787454240006E-2</v>
      </c>
      <c r="X167">
        <f t="shared" si="42"/>
        <v>0.13242695139258881</v>
      </c>
      <c r="Y167">
        <f t="shared" si="44"/>
        <v>0.11838479153623346</v>
      </c>
      <c r="Z167">
        <f t="shared" si="45"/>
        <v>8.5088660471428004E-2</v>
      </c>
      <c r="AA167">
        <f t="shared" si="46"/>
        <v>1.0845566527825893E-2</v>
      </c>
      <c r="AB167">
        <f t="shared" si="47"/>
        <v>0.15506400353107438</v>
      </c>
      <c r="AC167">
        <f t="shared" si="48"/>
        <v>2.9325356451861025E-2</v>
      </c>
      <c r="AD167">
        <f t="shared" si="49"/>
        <v>5.1126401013496463E-2</v>
      </c>
      <c r="AE167">
        <f t="shared" si="50"/>
        <v>2.9080593080908695E-2</v>
      </c>
      <c r="AF167">
        <f t="shared" si="51"/>
        <v>3.3887334316260183E-2</v>
      </c>
      <c r="AG167">
        <f t="shared" si="52"/>
        <v>5.2086606654977927E-2</v>
      </c>
      <c r="AH167">
        <f t="shared" si="53"/>
        <v>1.2695904827467871E-2</v>
      </c>
      <c r="AI167">
        <f t="shared" si="54"/>
        <v>3.1154892705703902E-2</v>
      </c>
      <c r="AJ167">
        <f t="shared" si="43"/>
        <v>5.8427773440795326E-3</v>
      </c>
      <c r="AK167">
        <f t="shared" si="37"/>
        <v>6.3842216284751563E-2</v>
      </c>
      <c r="AL167">
        <f t="shared" si="38"/>
        <v>8.128450951844618E-2</v>
      </c>
      <c r="AM167">
        <f t="shared" si="39"/>
        <v>7.6814780735175503E-2</v>
      </c>
      <c r="AN167">
        <f t="shared" si="40"/>
        <v>2.6225556929362934E-3</v>
      </c>
    </row>
    <row r="168" spans="1:40">
      <c r="A168" s="37">
        <v>41579</v>
      </c>
      <c r="B168" s="1">
        <v>12.271858</v>
      </c>
      <c r="C168" s="1">
        <v>12.519330999999999</v>
      </c>
      <c r="D168" s="1">
        <v>41.396388999999999</v>
      </c>
      <c r="E168" s="1">
        <v>39.383026000000001</v>
      </c>
      <c r="F168" s="1">
        <v>42.800292999999996</v>
      </c>
      <c r="G168" s="1">
        <v>32.899822</v>
      </c>
      <c r="H168" s="1">
        <v>67.344368000000003</v>
      </c>
      <c r="I168" s="1">
        <v>60.047267999999995</v>
      </c>
      <c r="J168" s="1">
        <v>60.472255999999994</v>
      </c>
      <c r="K168" s="1">
        <v>18.143632999999998</v>
      </c>
      <c r="L168" s="1">
        <v>72.508658999999994</v>
      </c>
      <c r="M168" s="1">
        <v>12.443665999999999</v>
      </c>
      <c r="N168" s="1">
        <v>31.222636999999999</v>
      </c>
      <c r="O168" s="1">
        <v>28.27261</v>
      </c>
      <c r="P168" s="1">
        <v>17.147777999999999</v>
      </c>
      <c r="Q168" s="1">
        <v>19.680999999999997</v>
      </c>
      <c r="R168" s="1">
        <v>31.456581</v>
      </c>
      <c r="S168" s="1">
        <v>105.645309</v>
      </c>
      <c r="V168" s="37">
        <v>41579</v>
      </c>
      <c r="W168">
        <f t="shared" si="41"/>
        <v>2.3769994731034128E-2</v>
      </c>
      <c r="X168">
        <f t="shared" si="42"/>
        <v>-1.5802921098579441E-2</v>
      </c>
      <c r="Y168">
        <f t="shared" si="44"/>
        <v>2.2020181518730954E-2</v>
      </c>
      <c r="Z168">
        <f t="shared" si="45"/>
        <v>-1.5306518092337591E-2</v>
      </c>
      <c r="AA168">
        <f t="shared" si="46"/>
        <v>-4.4300537849121753E-2</v>
      </c>
      <c r="AB168">
        <f t="shared" si="47"/>
        <v>2.6285552547973385E-3</v>
      </c>
      <c r="AC168">
        <f t="shared" si="48"/>
        <v>8.4164306063426092E-2</v>
      </c>
      <c r="AD168">
        <f t="shared" si="49"/>
        <v>-3.3365098308885524E-2</v>
      </c>
      <c r="AE168">
        <f t="shared" si="50"/>
        <v>-8.6001917970448555E-3</v>
      </c>
      <c r="AF168">
        <f t="shared" si="51"/>
        <v>-2.7193947320252682E-2</v>
      </c>
      <c r="AG168">
        <f t="shared" si="52"/>
        <v>5.745953734987707E-2</v>
      </c>
      <c r="AH168">
        <f t="shared" si="53"/>
        <v>0.1368194067568192</v>
      </c>
      <c r="AI168">
        <f t="shared" si="54"/>
        <v>3.865848999237316E-2</v>
      </c>
      <c r="AJ168">
        <f t="shared" si="43"/>
        <v>3.095900944412271E-2</v>
      </c>
      <c r="AK168">
        <f t="shared" si="37"/>
        <v>1.4792003955264664E-2</v>
      </c>
      <c r="AL168">
        <f t="shared" si="38"/>
        <v>1.3134546008841145E-2</v>
      </c>
      <c r="AM168">
        <f t="shared" si="39"/>
        <v>-1.1441993648324385E-2</v>
      </c>
      <c r="AN168">
        <f t="shared" si="40"/>
        <v>4.9517731071239447E-2</v>
      </c>
    </row>
    <row r="169" spans="1:40">
      <c r="A169" s="37">
        <v>41609</v>
      </c>
      <c r="B169" s="1">
        <v>12.563559999999999</v>
      </c>
      <c r="C169" s="1">
        <v>12.321489</v>
      </c>
      <c r="D169" s="1">
        <v>42.307944999999997</v>
      </c>
      <c r="E169" s="1">
        <v>38.780208999999999</v>
      </c>
      <c r="F169" s="1">
        <v>40.904216999999996</v>
      </c>
      <c r="G169" s="1">
        <v>32.986300999999997</v>
      </c>
      <c r="H169" s="1">
        <v>73.012360000000001</v>
      </c>
      <c r="I169" s="1">
        <v>58.043785</v>
      </c>
      <c r="J169" s="1">
        <v>59.952182999999998</v>
      </c>
      <c r="K169" s="1">
        <v>17.650236</v>
      </c>
      <c r="L169" s="1">
        <v>76.674972999999994</v>
      </c>
      <c r="M169" s="1">
        <v>14.146201</v>
      </c>
      <c r="N169" s="1">
        <v>32.429656999999999</v>
      </c>
      <c r="O169" s="1">
        <v>29.147901999999998</v>
      </c>
      <c r="P169" s="1">
        <v>17.401427999999999</v>
      </c>
      <c r="Q169" s="1">
        <v>19.939501</v>
      </c>
      <c r="R169" s="1">
        <v>31.096654999999998</v>
      </c>
      <c r="S169" s="1">
        <v>110.87662499999999</v>
      </c>
      <c r="V169" s="37">
        <v>41609</v>
      </c>
      <c r="W169">
        <f t="shared" si="41"/>
        <v>-1.2686213143408342E-2</v>
      </c>
      <c r="X169">
        <f t="shared" si="42"/>
        <v>7.6479068398307967E-2</v>
      </c>
      <c r="Y169">
        <f t="shared" si="44"/>
        <v>-5.335153952762297E-2</v>
      </c>
      <c r="Z169">
        <f t="shared" si="45"/>
        <v>-8.9809289062882658E-2</v>
      </c>
      <c r="AA169">
        <f t="shared" si="46"/>
        <v>-8.3708679718768275E-2</v>
      </c>
      <c r="AB169">
        <f t="shared" si="47"/>
        <v>1.088118367682436E-3</v>
      </c>
      <c r="AC169">
        <f t="shared" si="48"/>
        <v>-5.3500599076649488E-2</v>
      </c>
      <c r="AD169">
        <f t="shared" si="49"/>
        <v>-5.8837927264736481E-2</v>
      </c>
      <c r="AE169">
        <f t="shared" si="50"/>
        <v>-3.4727125782892658E-2</v>
      </c>
      <c r="AF169">
        <f t="shared" si="51"/>
        <v>-7.5093613479163017E-3</v>
      </c>
      <c r="AG169">
        <f t="shared" si="52"/>
        <v>-6.2934498848796511E-2</v>
      </c>
      <c r="AH169">
        <f t="shared" si="53"/>
        <v>-0.10901068067674144</v>
      </c>
      <c r="AI169">
        <f t="shared" si="54"/>
        <v>-1.3213522424859092E-3</v>
      </c>
      <c r="AJ169">
        <f t="shared" si="43"/>
        <v>-8.2660975050622823E-2</v>
      </c>
      <c r="AK169">
        <f t="shared" si="37"/>
        <v>-0.10769673615291801</v>
      </c>
      <c r="AL169">
        <f t="shared" si="38"/>
        <v>-0.10055422149230314</v>
      </c>
      <c r="AM169">
        <f t="shared" si="39"/>
        <v>1.1493905051845599E-2</v>
      </c>
      <c r="AN169">
        <f t="shared" si="40"/>
        <v>-5.8058792824907786E-2</v>
      </c>
    </row>
    <row r="170" spans="1:40">
      <c r="A170" s="37">
        <v>41640</v>
      </c>
      <c r="B170" s="1">
        <v>12.404176</v>
      </c>
      <c r="C170" s="1">
        <v>13.263824999999999</v>
      </c>
      <c r="D170" s="1">
        <v>40.050750999999998</v>
      </c>
      <c r="E170" s="1">
        <v>35.297385999999996</v>
      </c>
      <c r="F170" s="1">
        <v>37.480179</v>
      </c>
      <c r="G170" s="1">
        <v>33.022193999999999</v>
      </c>
      <c r="H170" s="1">
        <v>69.106155000000001</v>
      </c>
      <c r="I170" s="1">
        <v>54.628608999999997</v>
      </c>
      <c r="J170" s="1">
        <v>57.870215999999999</v>
      </c>
      <c r="K170" s="1">
        <v>17.517693999999999</v>
      </c>
      <c r="L170" s="1">
        <v>71.849471999999992</v>
      </c>
      <c r="M170" s="1">
        <v>12.604113999999999</v>
      </c>
      <c r="N170" s="1">
        <v>32.386806</v>
      </c>
      <c r="O170" s="1">
        <v>26.738507999999999</v>
      </c>
      <c r="P170" s="1">
        <v>15.527350999999999</v>
      </c>
      <c r="Q170" s="1">
        <v>17.9345</v>
      </c>
      <c r="R170" s="1">
        <v>31.454076999999998</v>
      </c>
      <c r="S170" s="1">
        <v>104.439262</v>
      </c>
      <c r="V170" s="37">
        <v>41640</v>
      </c>
      <c r="W170">
        <f t="shared" si="41"/>
        <v>-5.0279438150506769E-2</v>
      </c>
      <c r="X170">
        <f t="shared" si="42"/>
        <v>-1.3133918760236951E-2</v>
      </c>
      <c r="Y170">
        <f t="shared" si="44"/>
        <v>3.3085996315025429E-2</v>
      </c>
      <c r="Z170">
        <f t="shared" si="45"/>
        <v>2.5512937416952052E-2</v>
      </c>
      <c r="AA170">
        <f t="shared" si="46"/>
        <v>9.1866690391206457E-2</v>
      </c>
      <c r="AB170">
        <f t="shared" si="47"/>
        <v>8.7593695318972445E-2</v>
      </c>
      <c r="AC170">
        <f t="shared" si="48"/>
        <v>-3.4853624832710133E-4</v>
      </c>
      <c r="AD170">
        <f t="shared" si="49"/>
        <v>3.4391375405513312E-2</v>
      </c>
      <c r="AE170">
        <f t="shared" si="50"/>
        <v>7.2868157257266822E-2</v>
      </c>
      <c r="AF170">
        <f t="shared" si="51"/>
        <v>5.6250497354275161E-2</v>
      </c>
      <c r="AG170">
        <f t="shared" si="52"/>
        <v>7.640047793253095E-2</v>
      </c>
      <c r="AH170">
        <f t="shared" si="53"/>
        <v>0.16431095434395473</v>
      </c>
      <c r="AI170">
        <f t="shared" si="54"/>
        <v>2.3819792541444253E-2</v>
      </c>
      <c r="AJ170">
        <f t="shared" si="43"/>
        <v>5.7767808136489886E-2</v>
      </c>
      <c r="AK170">
        <f t="shared" si="37"/>
        <v>5.121865281463666E-2</v>
      </c>
      <c r="AL170">
        <f t="shared" si="38"/>
        <v>9.5068164710474523E-3</v>
      </c>
      <c r="AM170">
        <f t="shared" si="39"/>
        <v>1.2421060710190251E-2</v>
      </c>
      <c r="AN170">
        <f t="shared" si="40"/>
        <v>4.8052886470990194E-2</v>
      </c>
    </row>
    <row r="171" spans="1:40">
      <c r="A171" s="37">
        <v>41671</v>
      </c>
      <c r="B171" s="1">
        <v>11.780500999999999</v>
      </c>
      <c r="C171" s="1">
        <v>13.089618999999999</v>
      </c>
      <c r="D171" s="1">
        <v>41.375869999999999</v>
      </c>
      <c r="E171" s="1">
        <v>36.197925999999995</v>
      </c>
      <c r="F171" s="1">
        <v>40.923358999999998</v>
      </c>
      <c r="G171" s="1">
        <v>35.914729999999999</v>
      </c>
      <c r="H171" s="1">
        <v>69.08206899999999</v>
      </c>
      <c r="I171" s="1">
        <v>56.507362000000001</v>
      </c>
      <c r="J171" s="1">
        <v>62.087111999999998</v>
      </c>
      <c r="K171" s="1">
        <v>18.503073000000001</v>
      </c>
      <c r="L171" s="1">
        <v>77.338805999999991</v>
      </c>
      <c r="M171" s="1">
        <v>14.675108</v>
      </c>
      <c r="N171" s="1">
        <v>33.158253000000002</v>
      </c>
      <c r="O171" s="1">
        <v>28.283132999999999</v>
      </c>
      <c r="P171" s="1">
        <v>16.322641000000001</v>
      </c>
      <c r="Q171" s="1">
        <v>18.105</v>
      </c>
      <c r="R171" s="1">
        <v>31.844769999999997</v>
      </c>
      <c r="S171" s="1">
        <v>109.45787</v>
      </c>
      <c r="V171" s="37">
        <v>41671</v>
      </c>
      <c r="W171">
        <f t="shared" si="41"/>
        <v>-6.4180801818190872E-2</v>
      </c>
      <c r="X171">
        <f t="shared" si="42"/>
        <v>4.0532424969741326E-2</v>
      </c>
      <c r="Y171">
        <f t="shared" si="44"/>
        <v>6.8461569508991529E-2</v>
      </c>
      <c r="Z171">
        <f t="shared" si="45"/>
        <v>-2.1180274251071621E-2</v>
      </c>
      <c r="AA171">
        <f t="shared" si="46"/>
        <v>1.5764908252032795E-2</v>
      </c>
      <c r="AB171">
        <f t="shared" si="47"/>
        <v>2.4715485818771317E-2</v>
      </c>
      <c r="AC171">
        <f t="shared" si="48"/>
        <v>5.6673838185130325E-2</v>
      </c>
      <c r="AD171">
        <f t="shared" si="49"/>
        <v>2.4662963385195726E-2</v>
      </c>
      <c r="AE171">
        <f t="shared" si="50"/>
        <v>-2.1676028351906577E-2</v>
      </c>
      <c r="AF171">
        <f t="shared" si="51"/>
        <v>8.6525627391730482E-3</v>
      </c>
      <c r="AG171">
        <f t="shared" si="52"/>
        <v>-1.3694250723239694E-2</v>
      </c>
      <c r="AH171">
        <f t="shared" si="53"/>
        <v>4.2630895799880962E-2</v>
      </c>
      <c r="AI171">
        <f t="shared" si="54"/>
        <v>7.874980626995022E-2</v>
      </c>
      <c r="AJ171">
        <f t="shared" si="43"/>
        <v>3.573776639242901E-2</v>
      </c>
      <c r="AK171">
        <f t="shared" si="37"/>
        <v>2.6058099299004305E-2</v>
      </c>
      <c r="AL171">
        <f t="shared" si="38"/>
        <v>-7.1057663628831966E-2</v>
      </c>
      <c r="AM171">
        <f t="shared" si="39"/>
        <v>7.7978456116970005E-2</v>
      </c>
      <c r="AN171">
        <f t="shared" si="40"/>
        <v>4.5230242466804807E-2</v>
      </c>
    </row>
    <row r="172" spans="1:40">
      <c r="A172" s="37">
        <v>41699</v>
      </c>
      <c r="B172" s="1">
        <v>11.024419</v>
      </c>
      <c r="C172" s="1">
        <v>13.620172999999999</v>
      </c>
      <c r="D172" s="1">
        <v>44.208526999999997</v>
      </c>
      <c r="E172" s="1">
        <v>35.431244</v>
      </c>
      <c r="F172" s="1">
        <v>41.568511999999998</v>
      </c>
      <c r="G172" s="1">
        <v>36.802379999999999</v>
      </c>
      <c r="H172" s="1">
        <v>72.997214999999997</v>
      </c>
      <c r="I172" s="1">
        <v>57.901001000000001</v>
      </c>
      <c r="J172" s="1">
        <v>60.741309999999999</v>
      </c>
      <c r="K172" s="1">
        <v>18.663171999999999</v>
      </c>
      <c r="L172" s="1">
        <v>76.279708999999997</v>
      </c>
      <c r="M172" s="1">
        <v>15.300720999999999</v>
      </c>
      <c r="N172" s="1">
        <v>35.769458999999998</v>
      </c>
      <c r="O172" s="1">
        <v>29.293908999999999</v>
      </c>
      <c r="P172" s="1">
        <v>16.747978</v>
      </c>
      <c r="Q172" s="1">
        <v>16.818500999999998</v>
      </c>
      <c r="R172" s="1">
        <v>34.327976</v>
      </c>
      <c r="S172" s="1">
        <v>114.408676</v>
      </c>
      <c r="V172" s="37">
        <v>41699</v>
      </c>
      <c r="W172">
        <f t="shared" si="41"/>
        <v>8.9808814414619076E-2</v>
      </c>
      <c r="X172">
        <f t="shared" si="42"/>
        <v>-0.11924121668645474</v>
      </c>
      <c r="Y172">
        <f t="shared" si="44"/>
        <v>-7.7911394785897259E-2</v>
      </c>
      <c r="Z172">
        <f t="shared" si="45"/>
        <v>6.5126417802321007E-3</v>
      </c>
      <c r="AA172">
        <f t="shared" si="46"/>
        <v>2.8801391784242895E-2</v>
      </c>
      <c r="AB172">
        <f t="shared" si="47"/>
        <v>-2.7245873772294073E-2</v>
      </c>
      <c r="AC172">
        <f t="shared" si="48"/>
        <v>3.3943322358257061E-2</v>
      </c>
      <c r="AD172">
        <f t="shared" si="49"/>
        <v>2.4193726806208408E-2</v>
      </c>
      <c r="AE172">
        <f t="shared" si="50"/>
        <v>6.3642025501261065E-2</v>
      </c>
      <c r="AF172">
        <f t="shared" si="51"/>
        <v>-2.615209247388392E-2</v>
      </c>
      <c r="AG172">
        <f t="shared" si="52"/>
        <v>-2.8879187255420647E-2</v>
      </c>
      <c r="AH172">
        <f t="shared" si="53"/>
        <v>-6.0747790904755385E-2</v>
      </c>
      <c r="AI172">
        <f t="shared" si="54"/>
        <v>-2.0106258805871564E-3</v>
      </c>
      <c r="AJ172">
        <f t="shared" si="43"/>
        <v>2.4281122741249751E-2</v>
      </c>
      <c r="AK172">
        <f t="shared" si="37"/>
        <v>9.9396476398524058E-2</v>
      </c>
      <c r="AL172">
        <f t="shared" si="38"/>
        <v>-9.5846889089580445E-2</v>
      </c>
      <c r="AM172">
        <f t="shared" si="39"/>
        <v>-1.4393915912782137E-2</v>
      </c>
      <c r="AN172">
        <f t="shared" si="40"/>
        <v>2.0676963344982657E-2</v>
      </c>
    </row>
    <row r="173" spans="1:40">
      <c r="A173" s="37">
        <v>41730</v>
      </c>
      <c r="B173" s="1">
        <v>12.014509</v>
      </c>
      <c r="C173" s="1">
        <v>11.996086999999999</v>
      </c>
      <c r="D173" s="1">
        <v>40.764178999999999</v>
      </c>
      <c r="E173" s="1">
        <v>35.661994999999997</v>
      </c>
      <c r="F173" s="1">
        <v>42.765743000000001</v>
      </c>
      <c r="G173" s="1">
        <v>35.799666999999999</v>
      </c>
      <c r="H173" s="1">
        <v>75.474982999999995</v>
      </c>
      <c r="I173" s="1">
        <v>59.301842000000001</v>
      </c>
      <c r="J173" s="1">
        <v>64.607010000000002</v>
      </c>
      <c r="K173" s="1">
        <v>18.175090999999998</v>
      </c>
      <c r="L173" s="1">
        <v>74.076813000000001</v>
      </c>
      <c r="M173" s="1">
        <v>14.371236</v>
      </c>
      <c r="N173" s="1">
        <v>35.697539999999996</v>
      </c>
      <c r="O173" s="1">
        <v>30.005198</v>
      </c>
      <c r="P173" s="1">
        <v>18.412668</v>
      </c>
      <c r="Q173" s="1">
        <v>15.2065</v>
      </c>
      <c r="R173" s="1">
        <v>33.833861999999996</v>
      </c>
      <c r="S173" s="1">
        <v>116.7743</v>
      </c>
      <c r="V173" s="37">
        <v>41730</v>
      </c>
      <c r="W173">
        <f t="shared" si="41"/>
        <v>-3.4482640946875268E-2</v>
      </c>
      <c r="X173">
        <f t="shared" si="42"/>
        <v>0</v>
      </c>
      <c r="Y173">
        <f t="shared" si="44"/>
        <v>-1.0671869535260647E-3</v>
      </c>
      <c r="Z173">
        <f t="shared" si="45"/>
        <v>-7.0964902552421846E-3</v>
      </c>
      <c r="AA173">
        <f t="shared" si="46"/>
        <v>3.0020126155647388E-2</v>
      </c>
      <c r="AB173">
        <f t="shared" si="47"/>
        <v>4.2834783910140804E-2</v>
      </c>
      <c r="AC173">
        <f t="shared" si="48"/>
        <v>-2.3248047634538641E-2</v>
      </c>
      <c r="AD173">
        <f t="shared" si="49"/>
        <v>-1.3501047741485025E-2</v>
      </c>
      <c r="AE173">
        <f t="shared" si="50"/>
        <v>1.7580894085641684E-2</v>
      </c>
      <c r="AF173">
        <f t="shared" si="51"/>
        <v>-5.2749171929868229E-2</v>
      </c>
      <c r="AG173">
        <f t="shared" si="52"/>
        <v>4.9198323367394242E-2</v>
      </c>
      <c r="AH173">
        <f t="shared" si="53"/>
        <v>-7.3571959990080232E-2</v>
      </c>
      <c r="AI173">
        <f t="shared" si="54"/>
        <v>2.2965644131220261E-2</v>
      </c>
      <c r="AJ173">
        <f t="shared" si="43"/>
        <v>4.0611096783963824E-2</v>
      </c>
      <c r="AK173">
        <f t="shared" si="37"/>
        <v>7.2717978730730382E-2</v>
      </c>
      <c r="AL173">
        <f t="shared" si="38"/>
        <v>2.7685529214480607E-2</v>
      </c>
      <c r="AM173">
        <f t="shared" si="39"/>
        <v>1.3366372422988521E-2</v>
      </c>
      <c r="AN173">
        <f t="shared" si="40"/>
        <v>-6.1638168672387701E-2</v>
      </c>
    </row>
    <row r="174" spans="1:40">
      <c r="A174" s="37">
        <v>41760</v>
      </c>
      <c r="B174" s="1">
        <v>11.600216999999999</v>
      </c>
      <c r="C174" s="1">
        <v>11.996086999999999</v>
      </c>
      <c r="D174" s="1">
        <v>40.720675999999997</v>
      </c>
      <c r="E174" s="1">
        <v>35.408920000000002</v>
      </c>
      <c r="F174" s="1">
        <v>44.049575999999995</v>
      </c>
      <c r="G174" s="1">
        <v>37.333137999999998</v>
      </c>
      <c r="H174" s="1">
        <v>73.720337000000001</v>
      </c>
      <c r="I174" s="1">
        <v>58.501204999999999</v>
      </c>
      <c r="J174" s="1">
        <v>65.742858999999996</v>
      </c>
      <c r="K174" s="1">
        <v>17.216369999999998</v>
      </c>
      <c r="L174" s="1">
        <v>77.721267999999995</v>
      </c>
      <c r="M174" s="1">
        <v>13.313915999999999</v>
      </c>
      <c r="N174" s="1">
        <v>36.517356999999997</v>
      </c>
      <c r="O174" s="1">
        <v>31.223741999999998</v>
      </c>
      <c r="P174" s="1">
        <v>19.7516</v>
      </c>
      <c r="Q174" s="1">
        <v>15.6275</v>
      </c>
      <c r="R174" s="1">
        <v>34.286097999999996</v>
      </c>
      <c r="S174" s="1">
        <v>109.57654599999999</v>
      </c>
      <c r="V174" s="37">
        <v>41760</v>
      </c>
      <c r="W174">
        <f t="shared" si="41"/>
        <v>-0.11209488581118777</v>
      </c>
      <c r="X174">
        <f t="shared" si="42"/>
        <v>1.5191537040369992E-2</v>
      </c>
      <c r="Y174">
        <f t="shared" si="44"/>
        <v>3.6890399363704182E-2</v>
      </c>
      <c r="Z174">
        <f t="shared" si="45"/>
        <v>-9.6732970110357773E-3</v>
      </c>
      <c r="AA174">
        <f t="shared" si="46"/>
        <v>4.6799542406492235E-2</v>
      </c>
      <c r="AB174">
        <f t="shared" si="47"/>
        <v>-3.1223654438049177E-2</v>
      </c>
      <c r="AC174">
        <f t="shared" si="48"/>
        <v>-6.800701412962914E-3</v>
      </c>
      <c r="AD174">
        <f t="shared" si="49"/>
        <v>-2.7231353610579559E-2</v>
      </c>
      <c r="AE174">
        <f t="shared" si="50"/>
        <v>4.8046587082560379E-3</v>
      </c>
      <c r="AF174">
        <f t="shared" si="51"/>
        <v>1.061582668123425E-2</v>
      </c>
      <c r="AG174">
        <f t="shared" si="52"/>
        <v>3.683075525736404E-2</v>
      </c>
      <c r="AH174">
        <f t="shared" si="53"/>
        <v>2.3553175489465294E-2</v>
      </c>
      <c r="AI174">
        <f t="shared" si="54"/>
        <v>4.2485139327032927E-2</v>
      </c>
      <c r="AJ174">
        <f t="shared" si="43"/>
        <v>3.6701302489624651E-2</v>
      </c>
      <c r="AK174">
        <f t="shared" si="37"/>
        <v>3.3401496587618179E-2</v>
      </c>
      <c r="AL174">
        <f t="shared" si="38"/>
        <v>3.9129739241721403E-2</v>
      </c>
      <c r="AM174">
        <f t="shared" si="39"/>
        <v>2.5749415987786226E-2</v>
      </c>
      <c r="AN174">
        <f t="shared" si="40"/>
        <v>-1.103616644386656E-2</v>
      </c>
    </row>
    <row r="175" spans="1:40">
      <c r="A175" s="37">
        <v>41791</v>
      </c>
      <c r="B175" s="1">
        <v>10.299892</v>
      </c>
      <c r="C175" s="1">
        <v>12.178326</v>
      </c>
      <c r="D175" s="1">
        <v>42.222878000000001</v>
      </c>
      <c r="E175" s="1">
        <v>35.066398999999997</v>
      </c>
      <c r="F175" s="1">
        <v>46.111075999999997</v>
      </c>
      <c r="G175" s="1">
        <v>36.167460999999996</v>
      </c>
      <c r="H175" s="1">
        <v>73.218986999999998</v>
      </c>
      <c r="I175" s="1">
        <v>56.908137999999994</v>
      </c>
      <c r="J175" s="1">
        <v>66.058730999999995</v>
      </c>
      <c r="K175" s="1">
        <v>17.399135999999999</v>
      </c>
      <c r="L175" s="1">
        <v>80.583800999999994</v>
      </c>
      <c r="M175" s="1">
        <v>13.627500999999999</v>
      </c>
      <c r="N175" s="1">
        <v>38.068801999999998</v>
      </c>
      <c r="O175" s="1">
        <v>32.369693999999996</v>
      </c>
      <c r="P175" s="1">
        <v>20.411332999999999</v>
      </c>
      <c r="Q175" s="1">
        <v>16.239000000000001</v>
      </c>
      <c r="R175" s="1">
        <v>35.168945000000001</v>
      </c>
      <c r="S175" s="1">
        <v>108.36724099999999</v>
      </c>
      <c r="V175" s="37">
        <v>41791</v>
      </c>
      <c r="W175">
        <f t="shared" si="41"/>
        <v>3.9014292577048332E-2</v>
      </c>
      <c r="X175">
        <f t="shared" si="42"/>
        <v>-7.1688013607125785E-3</v>
      </c>
      <c r="Y175">
        <f t="shared" si="44"/>
        <v>8.6749178964051722E-4</v>
      </c>
      <c r="Z175">
        <f t="shared" si="45"/>
        <v>3.8428610819149264E-2</v>
      </c>
      <c r="AA175">
        <f t="shared" si="46"/>
        <v>1.331680050146739E-2</v>
      </c>
      <c r="AB175">
        <f t="shared" si="47"/>
        <v>1.358624538227863E-3</v>
      </c>
      <c r="AC175">
        <f t="shared" si="48"/>
        <v>-5.3821012301085221E-2</v>
      </c>
      <c r="AD175">
        <f t="shared" si="49"/>
        <v>-1.6159938320245041E-2</v>
      </c>
      <c r="AE175">
        <f t="shared" si="50"/>
        <v>1.5166655260150292E-3</v>
      </c>
      <c r="AF175">
        <f t="shared" si="51"/>
        <v>-3.30191683081274E-2</v>
      </c>
      <c r="AG175">
        <f t="shared" si="52"/>
        <v>-7.2415137131593005E-2</v>
      </c>
      <c r="AH175">
        <f t="shared" si="53"/>
        <v>-0.17882955943279694</v>
      </c>
      <c r="AI175">
        <f t="shared" si="54"/>
        <v>-3.1582816816772968E-2</v>
      </c>
      <c r="AJ175">
        <f t="shared" si="43"/>
        <v>1.6338646883717882E-2</v>
      </c>
      <c r="AK175">
        <f t="shared" si="37"/>
        <v>2.8731048579727674E-2</v>
      </c>
      <c r="AL175">
        <f t="shared" si="38"/>
        <v>-3.6301496397561486E-2</v>
      </c>
      <c r="AM175">
        <f t="shared" si="39"/>
        <v>3.5011997090046182E-2</v>
      </c>
      <c r="AN175">
        <f t="shared" si="40"/>
        <v>5.7373002603249817E-2</v>
      </c>
    </row>
    <row r="176" spans="1:40">
      <c r="A176" s="37">
        <v>41821</v>
      </c>
      <c r="B176" s="1">
        <v>10.701734999999999</v>
      </c>
      <c r="C176" s="1">
        <v>12.091021999999999</v>
      </c>
      <c r="D176" s="1">
        <v>42.259505999999995</v>
      </c>
      <c r="E176" s="1">
        <v>36.413952000000002</v>
      </c>
      <c r="F176" s="1">
        <v>46.725127999999998</v>
      </c>
      <c r="G176" s="1">
        <v>36.216598999999995</v>
      </c>
      <c r="H176" s="1">
        <v>69.278267</v>
      </c>
      <c r="I176" s="1">
        <v>55.988506000000001</v>
      </c>
      <c r="J176" s="1">
        <v>66.158919999999995</v>
      </c>
      <c r="K176" s="1">
        <v>16.824631</v>
      </c>
      <c r="L176" s="1">
        <v>74.748313999999993</v>
      </c>
      <c r="M176" s="1">
        <v>11.190500999999999</v>
      </c>
      <c r="N176" s="1">
        <v>36.866481999999998</v>
      </c>
      <c r="O176" s="1">
        <v>32.898570999999997</v>
      </c>
      <c r="P176" s="1">
        <v>20.997771999999998</v>
      </c>
      <c r="Q176" s="1">
        <v>15.6495</v>
      </c>
      <c r="R176" s="1">
        <v>36.400279999999995</v>
      </c>
      <c r="S176" s="1">
        <v>114.58459499999999</v>
      </c>
      <c r="V176" s="37">
        <v>41821</v>
      </c>
      <c r="W176">
        <f t="shared" si="41"/>
        <v>-1.185761000435907E-2</v>
      </c>
      <c r="X176">
        <f t="shared" si="42"/>
        <v>5.5081778860380917E-2</v>
      </c>
      <c r="Y176">
        <f t="shared" si="44"/>
        <v>3.8071789102314735E-2</v>
      </c>
      <c r="Z176">
        <f t="shared" si="45"/>
        <v>5.6232347425514154E-2</v>
      </c>
      <c r="AA176">
        <f t="shared" si="46"/>
        <v>4.192358766786048E-2</v>
      </c>
      <c r="AB176">
        <f t="shared" si="47"/>
        <v>7.7868631452666301E-2</v>
      </c>
      <c r="AC176">
        <f t="shared" si="48"/>
        <v>-1.1984335578140205E-2</v>
      </c>
      <c r="AD176">
        <f t="shared" si="49"/>
        <v>8.3470310852731086E-2</v>
      </c>
      <c r="AE176">
        <f t="shared" si="50"/>
        <v>4.6312424688915735E-2</v>
      </c>
      <c r="AF176">
        <f t="shared" si="51"/>
        <v>3.3076802694810829E-2</v>
      </c>
      <c r="AG176">
        <f t="shared" si="52"/>
        <v>2.0419069251515168E-2</v>
      </c>
      <c r="AH176">
        <f t="shared" si="53"/>
        <v>-6.0499525445733482E-3</v>
      </c>
      <c r="AI176">
        <f t="shared" si="54"/>
        <v>1.0609121857626618E-2</v>
      </c>
      <c r="AJ176">
        <f t="shared" si="43"/>
        <v>1.5885492412421206E-2</v>
      </c>
      <c r="AK176">
        <f t="shared" si="37"/>
        <v>7.2176038486368985E-2</v>
      </c>
      <c r="AL176">
        <f t="shared" si="38"/>
        <v>8.322949615003665E-2</v>
      </c>
      <c r="AM176">
        <f t="shared" si="39"/>
        <v>5.2595474540305762E-2</v>
      </c>
      <c r="AN176">
        <f t="shared" si="40"/>
        <v>3.2870736245129897E-3</v>
      </c>
    </row>
    <row r="177" spans="1:40">
      <c r="A177" s="37">
        <v>41852</v>
      </c>
      <c r="B177" s="1">
        <v>10.574838</v>
      </c>
      <c r="C177" s="1">
        <v>12.757016999999999</v>
      </c>
      <c r="D177" s="1">
        <v>43.868400999999999</v>
      </c>
      <c r="E177" s="1">
        <v>38.461593999999998</v>
      </c>
      <c r="F177" s="1">
        <v>48.684013</v>
      </c>
      <c r="G177" s="1">
        <v>39.036735999999998</v>
      </c>
      <c r="H177" s="1">
        <v>68.448013000000003</v>
      </c>
      <c r="I177" s="1">
        <v>60.661884000000001</v>
      </c>
      <c r="J177" s="1">
        <v>69.222899999999996</v>
      </c>
      <c r="K177" s="1">
        <v>17.381135999999998</v>
      </c>
      <c r="L177" s="1">
        <v>76.274604999999994</v>
      </c>
      <c r="M177" s="1">
        <v>11.122798999999999</v>
      </c>
      <c r="N177" s="1">
        <v>37.257602999999996</v>
      </c>
      <c r="O177" s="1">
        <v>33.421180999999997</v>
      </c>
      <c r="P177" s="1">
        <v>22.513307999999999</v>
      </c>
      <c r="Q177" s="1">
        <v>16.951999999999998</v>
      </c>
      <c r="R177" s="1">
        <v>38.314769999999996</v>
      </c>
      <c r="S177" s="1">
        <v>114.961243</v>
      </c>
      <c r="V177" s="37">
        <v>41852</v>
      </c>
      <c r="W177">
        <f t="shared" si="41"/>
        <v>-8.1309047003841183E-3</v>
      </c>
      <c r="X177">
        <f t="shared" si="42"/>
        <v>5.9664340025571812E-2</v>
      </c>
      <c r="Y177">
        <f t="shared" si="44"/>
        <v>1.328860835388089E-2</v>
      </c>
      <c r="Z177">
        <f t="shared" si="45"/>
        <v>3.2914392471616546E-3</v>
      </c>
      <c r="AA177">
        <f t="shared" si="46"/>
        <v>-4.3399483111632609E-2</v>
      </c>
      <c r="AB177">
        <f t="shared" si="47"/>
        <v>-6.5981617930351594E-2</v>
      </c>
      <c r="AC177">
        <f t="shared" si="48"/>
        <v>-2.4973303461708951E-2</v>
      </c>
      <c r="AD177">
        <f t="shared" si="49"/>
        <v>7.5799162452653045E-3</v>
      </c>
      <c r="AE177">
        <f t="shared" si="50"/>
        <v>-2.9617496522104613E-2</v>
      </c>
      <c r="AF177">
        <f t="shared" si="51"/>
        <v>6.1240531113732899E-3</v>
      </c>
      <c r="AG177">
        <f t="shared" si="52"/>
        <v>-2.2445189981645849E-2</v>
      </c>
      <c r="AH177">
        <f t="shared" si="53"/>
        <v>-9.3699346720191576E-2</v>
      </c>
      <c r="AI177">
        <f t="shared" si="54"/>
        <v>1.5410680069783361E-2</v>
      </c>
      <c r="AJ177">
        <f t="shared" si="43"/>
        <v>-6.1562097401644776E-2</v>
      </c>
      <c r="AK177">
        <f t="shared" si="37"/>
        <v>-1.2184082410279323E-2</v>
      </c>
      <c r="AL177">
        <f t="shared" si="38"/>
        <v>-4.8961774421897024E-2</v>
      </c>
      <c r="AM177">
        <f t="shared" si="39"/>
        <v>2.6844112596787074E-2</v>
      </c>
      <c r="AN177">
        <f t="shared" si="40"/>
        <v>-7.0066831131949626E-3</v>
      </c>
    </row>
    <row r="178" spans="1:40">
      <c r="A178" s="37">
        <v>41883</v>
      </c>
      <c r="B178" s="1">
        <v>10.488854999999999</v>
      </c>
      <c r="C178" s="1">
        <v>13.518155999999999</v>
      </c>
      <c r="D178" s="1">
        <v>44.451350999999995</v>
      </c>
      <c r="E178" s="1">
        <v>38.588187999999995</v>
      </c>
      <c r="F178" s="1">
        <v>46.571151999999998</v>
      </c>
      <c r="G178" s="1">
        <v>36.461028999999996</v>
      </c>
      <c r="H178" s="1">
        <v>66.738640000000004</v>
      </c>
      <c r="I178" s="1">
        <v>61.121696</v>
      </c>
      <c r="J178" s="1">
        <v>67.172691</v>
      </c>
      <c r="K178" s="1">
        <v>17.487579</v>
      </c>
      <c r="L178" s="1">
        <v>74.562607</v>
      </c>
      <c r="M178" s="1">
        <v>10.080599999999999</v>
      </c>
      <c r="N178" s="1">
        <v>37.831767999999997</v>
      </c>
      <c r="O178" s="1">
        <v>31.363702999999997</v>
      </c>
      <c r="P178" s="1">
        <v>22.239003999999998</v>
      </c>
      <c r="Q178" s="1">
        <v>16.122</v>
      </c>
      <c r="R178" s="1">
        <v>39.343295999999995</v>
      </c>
      <c r="S178" s="1">
        <v>114.15574599999999</v>
      </c>
      <c r="V178" s="37">
        <v>41883</v>
      </c>
      <c r="W178">
        <f t="shared" si="41"/>
        <v>3.9838285494460619E-2</v>
      </c>
      <c r="X178">
        <f t="shared" si="42"/>
        <v>9.5541137415487559E-3</v>
      </c>
      <c r="Y178">
        <f t="shared" si="44"/>
        <v>3.9838159249648624E-3</v>
      </c>
      <c r="Z178">
        <f t="shared" si="45"/>
        <v>3.2998828553442459E-2</v>
      </c>
      <c r="AA178">
        <f t="shared" si="46"/>
        <v>-1.3855444245828349E-2</v>
      </c>
      <c r="AB178">
        <f t="shared" si="47"/>
        <v>-9.687055184317121E-4</v>
      </c>
      <c r="AC178">
        <f t="shared" si="48"/>
        <v>5.0883281409390246E-2</v>
      </c>
      <c r="AD178">
        <f t="shared" si="49"/>
        <v>4.2154671231635903E-2</v>
      </c>
      <c r="AE178">
        <f t="shared" si="50"/>
        <v>6.0644957636132181E-2</v>
      </c>
      <c r="AF178">
        <f t="shared" si="51"/>
        <v>1.2851178542209876E-2</v>
      </c>
      <c r="AG178">
        <f t="shared" si="52"/>
        <v>2.7530139872925796E-2</v>
      </c>
      <c r="AH178">
        <f t="shared" si="53"/>
        <v>0.14438456044283091</v>
      </c>
      <c r="AI178">
        <f t="shared" si="54"/>
        <v>2.3520259481396792E-2</v>
      </c>
      <c r="AJ178">
        <f t="shared" si="43"/>
        <v>-2.6319596254306831E-3</v>
      </c>
      <c r="AK178">
        <f t="shared" si="37"/>
        <v>7.1960192102128298E-2</v>
      </c>
      <c r="AL178">
        <f t="shared" si="38"/>
        <v>-5.2660960178637896E-2</v>
      </c>
      <c r="AM178">
        <f t="shared" si="39"/>
        <v>1.272686965525211E-2</v>
      </c>
      <c r="AN178">
        <f t="shared" si="40"/>
        <v>-0.13396194704031802</v>
      </c>
    </row>
    <row r="179" spans="1:40">
      <c r="A179" s="37">
        <v>41913</v>
      </c>
      <c r="B179" s="1">
        <v>10.906713</v>
      </c>
      <c r="C179" s="1">
        <v>13.647309999999999</v>
      </c>
      <c r="D179" s="1">
        <v>44.628436999999998</v>
      </c>
      <c r="E179" s="1">
        <v>39.861553000000001</v>
      </c>
      <c r="F179" s="1">
        <v>45.925888</v>
      </c>
      <c r="G179" s="1">
        <v>36.425708999999998</v>
      </c>
      <c r="H179" s="1">
        <v>70.134520999999992</v>
      </c>
      <c r="I179" s="1">
        <v>63.698260999999995</v>
      </c>
      <c r="J179" s="1">
        <v>71.246375999999998</v>
      </c>
      <c r="K179" s="1">
        <v>17.712315</v>
      </c>
      <c r="L179" s="1">
        <v>76.615325999999996</v>
      </c>
      <c r="M179" s="1">
        <v>11.536083</v>
      </c>
      <c r="N179" s="1">
        <v>38.721581</v>
      </c>
      <c r="O179" s="1">
        <v>31.281154999999998</v>
      </c>
      <c r="P179" s="1">
        <v>23.839326999999997</v>
      </c>
      <c r="Q179" s="1">
        <v>15.273</v>
      </c>
      <c r="R179" s="1">
        <v>39.844012999999997</v>
      </c>
      <c r="S179" s="1">
        <v>98.863219999999998</v>
      </c>
      <c r="V179" s="37">
        <v>41913</v>
      </c>
      <c r="W179">
        <f t="shared" si="41"/>
        <v>-7.1431236890528568E-3</v>
      </c>
      <c r="X179">
        <f t="shared" si="42"/>
        <v>-6.9928066410156935E-3</v>
      </c>
      <c r="Y179">
        <f t="shared" si="44"/>
        <v>1.4108717273696675E-3</v>
      </c>
      <c r="Z179">
        <f t="shared" si="45"/>
        <v>8.4114384605135702E-3</v>
      </c>
      <c r="AA179">
        <f t="shared" si="46"/>
        <v>2.4766031742271252E-2</v>
      </c>
      <c r="AB179">
        <f t="shared" si="47"/>
        <v>0.12262234895688644</v>
      </c>
      <c r="AC179">
        <f t="shared" si="48"/>
        <v>1.2625280494893565E-2</v>
      </c>
      <c r="AD179">
        <f t="shared" si="49"/>
        <v>4.415690406367604E-2</v>
      </c>
      <c r="AE179">
        <f t="shared" si="50"/>
        <v>8.5434240192090727E-3</v>
      </c>
      <c r="AF179">
        <f t="shared" si="51"/>
        <v>4.0066925187362594E-2</v>
      </c>
      <c r="AG179">
        <f t="shared" si="52"/>
        <v>3.0520042425976186E-2</v>
      </c>
      <c r="AH179">
        <f t="shared" si="53"/>
        <v>-8.5911309757392799E-3</v>
      </c>
      <c r="AI179">
        <f t="shared" si="54"/>
        <v>2.6182298703144261E-2</v>
      </c>
      <c r="AJ179">
        <f t="shared" si="43"/>
        <v>3.3760262368828849E-2</v>
      </c>
      <c r="AK179">
        <f t="shared" si="37"/>
        <v>0.10120352810295363</v>
      </c>
      <c r="AL179">
        <f t="shared" si="38"/>
        <v>0.10862299482747319</v>
      </c>
      <c r="AM179">
        <f t="shared" si="39"/>
        <v>1.8317432031758521E-2</v>
      </c>
      <c r="AN179">
        <f t="shared" si="40"/>
        <v>-1.3564306321400505E-2</v>
      </c>
    </row>
    <row r="180" spans="1:40">
      <c r="A180" s="37">
        <v>41944</v>
      </c>
      <c r="B180" s="1">
        <v>10.828804999999999</v>
      </c>
      <c r="C180" s="1">
        <v>13.551876999999999</v>
      </c>
      <c r="D180" s="1">
        <v>44.691401999999997</v>
      </c>
      <c r="E180" s="1">
        <v>40.196846000000001</v>
      </c>
      <c r="F180" s="1">
        <v>47.063289999999995</v>
      </c>
      <c r="G180" s="1">
        <v>40.892314999999996</v>
      </c>
      <c r="H180" s="1">
        <v>71.019988999999995</v>
      </c>
      <c r="I180" s="1">
        <v>66.510978999999992</v>
      </c>
      <c r="J180" s="1">
        <v>71.855063999999999</v>
      </c>
      <c r="K180" s="1">
        <v>18.421993000000001</v>
      </c>
      <c r="L180" s="1">
        <v>78.953628999999992</v>
      </c>
      <c r="M180" s="1">
        <v>11.436975</v>
      </c>
      <c r="N180" s="1">
        <v>39.735400999999996</v>
      </c>
      <c r="O180" s="1">
        <v>32.337215</v>
      </c>
      <c r="P180" s="1">
        <v>26.251950999999998</v>
      </c>
      <c r="Q180" s="1">
        <v>16.931998999999998</v>
      </c>
      <c r="R180" s="1">
        <v>40.573853</v>
      </c>
      <c r="S180" s="1">
        <v>97.522208999999989</v>
      </c>
      <c r="V180" s="37">
        <v>41944</v>
      </c>
      <c r="W180">
        <f t="shared" si="41"/>
        <v>-1.4164351468144439E-2</v>
      </c>
      <c r="X180">
        <f t="shared" si="42"/>
        <v>4.9882684147738408E-2</v>
      </c>
      <c r="Y180">
        <f t="shared" si="44"/>
        <v>4.0225925335705522E-2</v>
      </c>
      <c r="Z180">
        <f t="shared" si="45"/>
        <v>2.5938104696073914E-3</v>
      </c>
      <c r="AA180">
        <f t="shared" si="46"/>
        <v>-4.016833502290211E-2</v>
      </c>
      <c r="AB180">
        <f t="shared" si="47"/>
        <v>1.2940964579775022E-2</v>
      </c>
      <c r="AC180">
        <f t="shared" si="48"/>
        <v>2.135757863888163E-2</v>
      </c>
      <c r="AD180">
        <f t="shared" si="49"/>
        <v>7.2985694587356723E-3</v>
      </c>
      <c r="AE180">
        <f t="shared" si="50"/>
        <v>1.7365874171373689E-2</v>
      </c>
      <c r="AF180">
        <f t="shared" si="51"/>
        <v>8.6606264588201098E-3</v>
      </c>
      <c r="AG180">
        <f t="shared" si="52"/>
        <v>6.7088239857853544E-3</v>
      </c>
      <c r="AH180">
        <f t="shared" si="53"/>
        <v>4.1765501804454326E-2</v>
      </c>
      <c r="AI180">
        <f t="shared" si="54"/>
        <v>1.2895453099869452E-2</v>
      </c>
      <c r="AJ180">
        <f t="shared" si="43"/>
        <v>-5.3674133656840921E-2</v>
      </c>
      <c r="AK180">
        <f t="shared" si="37"/>
        <v>-6.7866194021160578E-2</v>
      </c>
      <c r="AL180">
        <f t="shared" si="38"/>
        <v>-8.3539988397117057E-2</v>
      </c>
      <c r="AM180">
        <f t="shared" si="39"/>
        <v>-2.2318240271635096E-2</v>
      </c>
      <c r="AN180">
        <f t="shared" si="40"/>
        <v>-3.8965995940473115E-3</v>
      </c>
    </row>
    <row r="181" spans="1:40">
      <c r="A181" s="37">
        <v>41974</v>
      </c>
      <c r="B181" s="1">
        <v>10.675421999999999</v>
      </c>
      <c r="C181" s="1">
        <v>14.227881</v>
      </c>
      <c r="D181" s="1">
        <v>46.489154999999997</v>
      </c>
      <c r="E181" s="1">
        <v>40.301108999999997</v>
      </c>
      <c r="F181" s="1">
        <v>45.172835999999997</v>
      </c>
      <c r="G181" s="1">
        <v>41.421500999999999</v>
      </c>
      <c r="H181" s="1">
        <v>72.536804000000004</v>
      </c>
      <c r="I181" s="1">
        <v>66.996414000000001</v>
      </c>
      <c r="J181" s="1">
        <v>73.102890000000002</v>
      </c>
      <c r="K181" s="1">
        <v>18.581538999999999</v>
      </c>
      <c r="L181" s="1">
        <v>79.48331499999999</v>
      </c>
      <c r="M181" s="1">
        <v>11.914645999999999</v>
      </c>
      <c r="N181" s="1">
        <v>40.247807000000002</v>
      </c>
      <c r="O181" s="1">
        <v>30.601542999999999</v>
      </c>
      <c r="P181" s="1">
        <v>24.470330999999998</v>
      </c>
      <c r="Q181" s="1">
        <v>15.5175</v>
      </c>
      <c r="R181" s="1">
        <v>39.668315999999997</v>
      </c>
      <c r="S181" s="1">
        <v>97.142203999999992</v>
      </c>
      <c r="V181" s="37">
        <v>41974</v>
      </c>
      <c r="W181">
        <f t="shared" si="41"/>
        <v>-6.4623674829903707E-2</v>
      </c>
      <c r="X181">
        <f t="shared" si="42"/>
        <v>-0.15068196030034275</v>
      </c>
      <c r="Y181">
        <f t="shared" si="44"/>
        <v>-0.13103219449783496</v>
      </c>
      <c r="Z181">
        <f t="shared" si="45"/>
        <v>-0.13232290952588924</v>
      </c>
      <c r="AA181">
        <f t="shared" si="46"/>
        <v>-0.1873319177923653</v>
      </c>
      <c r="AB181">
        <f t="shared" si="47"/>
        <v>-2.3398017372668341E-2</v>
      </c>
      <c r="AC181">
        <f t="shared" si="48"/>
        <v>-3.0629568405026553E-2</v>
      </c>
      <c r="AD181">
        <f t="shared" si="49"/>
        <v>-7.4651473137054794E-2</v>
      </c>
      <c r="AE181">
        <f t="shared" si="50"/>
        <v>-1.989742129209944E-2</v>
      </c>
      <c r="AF181">
        <f t="shared" si="51"/>
        <v>3.2102292495793158E-3</v>
      </c>
      <c r="AG181">
        <f t="shared" si="52"/>
        <v>-0.13273853764151619</v>
      </c>
      <c r="AH181">
        <f t="shared" si="53"/>
        <v>-4.7655297522058111E-2</v>
      </c>
      <c r="AI181">
        <f t="shared" si="54"/>
        <v>-5.2900273547823368E-2</v>
      </c>
      <c r="AJ181">
        <f t="shared" si="43"/>
        <v>-0.16638768835937465</v>
      </c>
      <c r="AK181">
        <f t="shared" si="37"/>
        <v>6.1424138480186477E-2</v>
      </c>
      <c r="AL181">
        <f t="shared" si="38"/>
        <v>0.14235540518769119</v>
      </c>
      <c r="AM181">
        <f t="shared" si="39"/>
        <v>-0.13024777759660891</v>
      </c>
      <c r="AN181">
        <f t="shared" si="40"/>
        <v>-4.444064291561671E-2</v>
      </c>
    </row>
    <row r="182" spans="1:40">
      <c r="A182" s="37">
        <v>42005</v>
      </c>
      <c r="B182" s="1">
        <v>9.985536999999999</v>
      </c>
      <c r="C182" s="1">
        <v>12.083995999999999</v>
      </c>
      <c r="D182" s="1">
        <v>40.397579</v>
      </c>
      <c r="E182" s="1">
        <v>34.968348999999996</v>
      </c>
      <c r="F182" s="1">
        <v>36.710521999999997</v>
      </c>
      <c r="G182" s="1">
        <v>40.45232</v>
      </c>
      <c r="H182" s="1">
        <v>70.315033</v>
      </c>
      <c r="I182" s="1">
        <v>61.995032999999999</v>
      </c>
      <c r="J182" s="1">
        <v>71.648330999999999</v>
      </c>
      <c r="K182" s="1">
        <v>18.641189999999998</v>
      </c>
      <c r="L182" s="1">
        <v>68.932816000000003</v>
      </c>
      <c r="M182" s="1">
        <v>11.34685</v>
      </c>
      <c r="N182" s="1">
        <v>38.118687000000001</v>
      </c>
      <c r="O182" s="1">
        <v>25.509822999999997</v>
      </c>
      <c r="P182" s="1">
        <v>25.973399999999998</v>
      </c>
      <c r="Q182" s="1">
        <v>17.726499999999998</v>
      </c>
      <c r="R182" s="1">
        <v>34.501605999999995</v>
      </c>
      <c r="S182" s="1">
        <v>92.825142</v>
      </c>
      <c r="V182" s="37">
        <v>42005</v>
      </c>
      <c r="W182">
        <f t="shared" si="41"/>
        <v>0.12962958326627802</v>
      </c>
      <c r="X182">
        <f t="shared" si="42"/>
        <v>4.3564314321189825E-2</v>
      </c>
      <c r="Y182">
        <f t="shared" si="44"/>
        <v>0.13413392916441852</v>
      </c>
      <c r="Z182">
        <f t="shared" si="45"/>
        <v>0.11674408763193263</v>
      </c>
      <c r="AA182">
        <f t="shared" si="46"/>
        <v>8.9206849197077664E-2</v>
      </c>
      <c r="AB182">
        <f t="shared" si="47"/>
        <v>-2.5043557452330443E-3</v>
      </c>
      <c r="AC182">
        <f t="shared" si="48"/>
        <v>6.3505410002438561E-2</v>
      </c>
      <c r="AD182">
        <f t="shared" si="49"/>
        <v>1.7149244843534441E-2</v>
      </c>
      <c r="AE182">
        <f t="shared" si="50"/>
        <v>5.0079910444808418E-2</v>
      </c>
      <c r="AF182">
        <f t="shared" si="51"/>
        <v>9.8240294745131684E-2</v>
      </c>
      <c r="AG182">
        <f t="shared" si="52"/>
        <v>1.4128466766829762E-2</v>
      </c>
      <c r="AH182">
        <f t="shared" si="53"/>
        <v>0.11469350524594922</v>
      </c>
      <c r="AI182">
        <f t="shared" si="54"/>
        <v>5.5277481094771104E-2</v>
      </c>
      <c r="AJ182">
        <f t="shared" si="43"/>
        <v>0.11031722956290213</v>
      </c>
      <c r="AK182">
        <f t="shared" si="37"/>
        <v>9.6449367429755045E-2</v>
      </c>
      <c r="AL182">
        <f t="shared" si="38"/>
        <v>7.2292838405776674E-2</v>
      </c>
      <c r="AM182">
        <f t="shared" si="39"/>
        <v>8.5396024753166599E-2</v>
      </c>
      <c r="AN182">
        <f t="shared" si="40"/>
        <v>5.6291408635819773E-2</v>
      </c>
    </row>
    <row r="183" spans="1:40">
      <c r="A183" s="37">
        <v>42036</v>
      </c>
      <c r="B183" s="1">
        <v>11.279957999999999</v>
      </c>
      <c r="C183" s="1">
        <v>12.610427</v>
      </c>
      <c r="D183" s="1">
        <v>45.816265000000001</v>
      </c>
      <c r="E183" s="1">
        <v>39.050697</v>
      </c>
      <c r="F183" s="1">
        <v>39.985351999999999</v>
      </c>
      <c r="G183" s="1">
        <v>40.351012999999995</v>
      </c>
      <c r="H183" s="1">
        <v>74.780417999999997</v>
      </c>
      <c r="I183" s="1">
        <v>63.058200999999997</v>
      </c>
      <c r="J183" s="1">
        <v>75.236472999999989</v>
      </c>
      <c r="K183" s="1">
        <v>20.472505999999999</v>
      </c>
      <c r="L183" s="1">
        <v>69.906730999999994</v>
      </c>
      <c r="M183" s="1">
        <v>12.648259999999999</v>
      </c>
      <c r="N183" s="1">
        <v>40.225791999999998</v>
      </c>
      <c r="O183" s="1">
        <v>28.323995999999998</v>
      </c>
      <c r="P183" s="1">
        <v>28.478517999999998</v>
      </c>
      <c r="Q183" s="1">
        <v>19.007998999999998</v>
      </c>
      <c r="R183" s="1">
        <v>37.447905999999996</v>
      </c>
      <c r="S183" s="1">
        <v>98.050399999999996</v>
      </c>
      <c r="V183" s="37">
        <v>42036</v>
      </c>
      <c r="W183">
        <f t="shared" si="41"/>
        <v>-8.1336739019772925E-2</v>
      </c>
      <c r="X183">
        <f t="shared" si="42"/>
        <v>-2.6565476331610292E-2</v>
      </c>
      <c r="Y183">
        <f t="shared" si="44"/>
        <v>-1.1422711999766974E-2</v>
      </c>
      <c r="Z183">
        <f t="shared" si="45"/>
        <v>-1.7169347835200056E-2</v>
      </c>
      <c r="AA183">
        <f t="shared" si="46"/>
        <v>-3.2117611469320011E-2</v>
      </c>
      <c r="AB183">
        <f t="shared" si="47"/>
        <v>1.8675491492617671E-2</v>
      </c>
      <c r="AC183">
        <f t="shared" si="48"/>
        <v>-3.2119277535998809E-2</v>
      </c>
      <c r="AD183">
        <f t="shared" si="49"/>
        <v>-3.7472160044654611E-2</v>
      </c>
      <c r="AE183">
        <f t="shared" si="50"/>
        <v>-3.0302709697728535E-2</v>
      </c>
      <c r="AF183">
        <f t="shared" si="51"/>
        <v>2.2636798836449284E-2</v>
      </c>
      <c r="AG183">
        <f t="shared" si="52"/>
        <v>-4.2529509783542745E-2</v>
      </c>
      <c r="AH183">
        <f t="shared" si="53"/>
        <v>-1.6440126942362007E-2</v>
      </c>
      <c r="AI183">
        <f t="shared" si="54"/>
        <v>-5.7353749554518696E-4</v>
      </c>
      <c r="AJ183">
        <f t="shared" si="43"/>
        <v>-2.2804903658367959E-2</v>
      </c>
      <c r="AK183">
        <f t="shared" si="37"/>
        <v>-2.7548975687569137E-2</v>
      </c>
      <c r="AL183">
        <f t="shared" si="38"/>
        <v>-2.1201547832572894E-2</v>
      </c>
      <c r="AM183">
        <f t="shared" si="39"/>
        <v>-6.6148611887671266E-2</v>
      </c>
      <c r="AN183">
        <f t="shared" si="40"/>
        <v>-1.9398289043186141E-3</v>
      </c>
    </row>
    <row r="184" spans="1:40">
      <c r="A184" s="37">
        <v>42064</v>
      </c>
      <c r="B184" s="1">
        <v>10.362482999999999</v>
      </c>
      <c r="C184" s="1">
        <v>12.275425</v>
      </c>
      <c r="D184" s="1">
        <v>45.292918999999998</v>
      </c>
      <c r="E184" s="1">
        <v>38.380221999999996</v>
      </c>
      <c r="F184" s="1">
        <v>38.701118000000001</v>
      </c>
      <c r="G184" s="1">
        <v>41.104588</v>
      </c>
      <c r="H184" s="1">
        <v>72.378524999999996</v>
      </c>
      <c r="I184" s="1">
        <v>60.695273999999998</v>
      </c>
      <c r="J184" s="1">
        <v>72.956603999999999</v>
      </c>
      <c r="K184" s="1">
        <v>20.935938</v>
      </c>
      <c r="L184" s="1">
        <v>66.933632000000003</v>
      </c>
      <c r="M184" s="1">
        <v>12.440320999999999</v>
      </c>
      <c r="N184" s="1">
        <v>40.202720999999997</v>
      </c>
      <c r="O184" s="1">
        <v>27.678069999999998</v>
      </c>
      <c r="P184" s="1">
        <v>27.693963999999998</v>
      </c>
      <c r="Q184" s="1">
        <v>18.605</v>
      </c>
      <c r="R184" s="1">
        <v>34.970779</v>
      </c>
      <c r="S184" s="1">
        <v>97.860198999999994</v>
      </c>
      <c r="V184" s="37">
        <v>42064</v>
      </c>
      <c r="W184">
        <f t="shared" si="41"/>
        <v>9.5166862999919985E-2</v>
      </c>
      <c r="X184">
        <f t="shared" si="42"/>
        <v>3.8324212807295796E-2</v>
      </c>
      <c r="Y184">
        <f t="shared" si="44"/>
        <v>4.4238968126563014E-2</v>
      </c>
      <c r="Z184">
        <f t="shared" si="45"/>
        <v>3.4938073052313376E-2</v>
      </c>
      <c r="AA184">
        <f t="shared" si="46"/>
        <v>8.8877923371619233E-2</v>
      </c>
      <c r="AB184">
        <f t="shared" si="47"/>
        <v>6.3394383128226534E-4</v>
      </c>
      <c r="AC184">
        <f t="shared" si="48"/>
        <v>3.9358483749150727E-2</v>
      </c>
      <c r="AD184">
        <f t="shared" si="49"/>
        <v>-2.9655949819091369E-2</v>
      </c>
      <c r="AE184">
        <f t="shared" si="50"/>
        <v>4.0526982314034225E-2</v>
      </c>
      <c r="AF184">
        <f t="shared" si="51"/>
        <v>-2.4719647144541584E-2</v>
      </c>
      <c r="AG184">
        <f t="shared" si="52"/>
        <v>-5.2625561989524776E-3</v>
      </c>
      <c r="AH184">
        <f t="shared" si="53"/>
        <v>-2.6889659840770904E-2</v>
      </c>
      <c r="AI184">
        <f t="shared" si="54"/>
        <v>1.2867462378976848E-2</v>
      </c>
      <c r="AJ184">
        <f t="shared" si="43"/>
        <v>7.7246173595196449E-2</v>
      </c>
      <c r="AK184">
        <f t="shared" si="37"/>
        <v>5.7862428072775092E-3</v>
      </c>
      <c r="AL184">
        <f t="shared" si="38"/>
        <v>0.13351255038968016</v>
      </c>
      <c r="AM184">
        <f t="shared" si="39"/>
        <v>0.19626165605290055</v>
      </c>
      <c r="AN184">
        <f t="shared" si="40"/>
        <v>6.7227566132376224E-2</v>
      </c>
    </row>
    <row r="185" spans="1:40">
      <c r="A185" s="37">
        <v>42095</v>
      </c>
      <c r="B185" s="1">
        <v>11.348647999999999</v>
      </c>
      <c r="C185" s="1">
        <v>12.745870999999999</v>
      </c>
      <c r="D185" s="1">
        <v>47.296630999999998</v>
      </c>
      <c r="E185" s="1">
        <v>39.721153000000001</v>
      </c>
      <c r="F185" s="1">
        <v>42.140792999999995</v>
      </c>
      <c r="G185" s="1">
        <v>41.130645999999999</v>
      </c>
      <c r="H185" s="1">
        <v>75.227233999999996</v>
      </c>
      <c r="I185" s="1">
        <v>58.895297999999997</v>
      </c>
      <c r="J185" s="1">
        <v>75.913314999999997</v>
      </c>
      <c r="K185" s="1">
        <v>20.418409</v>
      </c>
      <c r="L185" s="1">
        <v>66.581389999999999</v>
      </c>
      <c r="M185" s="1">
        <v>12.105805</v>
      </c>
      <c r="N185" s="1">
        <v>40.720027999999999</v>
      </c>
      <c r="O185" s="1">
        <v>29.816094999999997</v>
      </c>
      <c r="P185" s="1">
        <v>27.854208</v>
      </c>
      <c r="Q185" s="1">
        <v>21.089001</v>
      </c>
      <c r="R185" s="1">
        <v>41.834201999999998</v>
      </c>
      <c r="S185" s="1">
        <v>104.43910199999999</v>
      </c>
      <c r="V185" s="37">
        <v>42095</v>
      </c>
      <c r="W185">
        <f t="shared" si="41"/>
        <v>5.0190912609149589E-2</v>
      </c>
      <c r="X185">
        <f t="shared" si="42"/>
        <v>3.5781626849981471E-2</v>
      </c>
      <c r="Y185">
        <f t="shared" si="44"/>
        <v>4.6746839114185562E-2</v>
      </c>
      <c r="Z185">
        <f t="shared" si="45"/>
        <v>1.4253337510117065E-2</v>
      </c>
      <c r="AA185">
        <f t="shared" si="46"/>
        <v>-5.4937409459760292E-2</v>
      </c>
      <c r="AB185">
        <f t="shared" si="47"/>
        <v>3.5896640184061343E-2</v>
      </c>
      <c r="AC185">
        <f t="shared" si="48"/>
        <v>3.490948504101582E-2</v>
      </c>
      <c r="AD185">
        <f t="shared" si="49"/>
        <v>-6.1563318688021016E-3</v>
      </c>
      <c r="AE185">
        <f t="shared" si="50"/>
        <v>3.7892641099917634E-2</v>
      </c>
      <c r="AF185">
        <f t="shared" si="51"/>
        <v>2.4167602872486267E-2</v>
      </c>
      <c r="AG185">
        <f t="shared" si="52"/>
        <v>2.9309075704186914E-2</v>
      </c>
      <c r="AH185">
        <f t="shared" si="53"/>
        <v>4.1161822778410781E-2</v>
      </c>
      <c r="AI185">
        <f t="shared" si="54"/>
        <v>1.56078232559172E-2</v>
      </c>
      <c r="AJ185">
        <f t="shared" si="43"/>
        <v>-4.7204538354200944E-2</v>
      </c>
      <c r="AK185">
        <f t="shared" si="37"/>
        <v>4.0990898035944877E-2</v>
      </c>
      <c r="AL185">
        <f t="shared" si="38"/>
        <v>1.7663188502859747E-2</v>
      </c>
      <c r="AM185">
        <f t="shared" si="39"/>
        <v>-3.6595534916621639E-2</v>
      </c>
      <c r="AN185">
        <f t="shared" si="40"/>
        <v>-9.5744408066625684E-3</v>
      </c>
    </row>
    <row r="186" spans="1:40">
      <c r="A186" s="37">
        <v>42125</v>
      </c>
      <c r="B186" s="1">
        <v>11.918246999999999</v>
      </c>
      <c r="C186" s="1">
        <v>13.201938999999999</v>
      </c>
      <c r="D186" s="1">
        <v>49.507598999999999</v>
      </c>
      <c r="E186" s="1">
        <v>40.287312</v>
      </c>
      <c r="F186" s="1">
        <v>39.825686999999995</v>
      </c>
      <c r="G186" s="1">
        <v>42.607098000000001</v>
      </c>
      <c r="H186" s="1">
        <v>77.853377999999992</v>
      </c>
      <c r="I186" s="1">
        <v>58.532719</v>
      </c>
      <c r="J186" s="1">
        <v>78.789870999999991</v>
      </c>
      <c r="K186" s="1">
        <v>20.911873</v>
      </c>
      <c r="L186" s="1">
        <v>68.532828999999992</v>
      </c>
      <c r="M186" s="1">
        <v>12.604101999999999</v>
      </c>
      <c r="N186" s="1">
        <v>41.355578999999999</v>
      </c>
      <c r="O186" s="1">
        <v>28.408639999999998</v>
      </c>
      <c r="P186" s="1">
        <v>28.995977</v>
      </c>
      <c r="Q186" s="1">
        <v>21.461499999999997</v>
      </c>
      <c r="R186" s="1">
        <v>40.303256999999995</v>
      </c>
      <c r="S186" s="1">
        <v>103.439156</v>
      </c>
      <c r="V186" s="37">
        <v>42125</v>
      </c>
      <c r="W186">
        <f t="shared" si="41"/>
        <v>-1.4008771591996374E-3</v>
      </c>
      <c r="X186">
        <f t="shared" si="42"/>
        <v>3.1514991850818325E-2</v>
      </c>
      <c r="Y186">
        <f t="shared" si="44"/>
        <v>3.0100510428712136E-2</v>
      </c>
      <c r="Z186">
        <f t="shared" si="45"/>
        <v>2.2417976160831968E-2</v>
      </c>
      <c r="AA186">
        <f t="shared" si="46"/>
        <v>-2.9787358093784997E-2</v>
      </c>
      <c r="AB186">
        <f t="shared" si="47"/>
        <v>7.7669687806477712E-3</v>
      </c>
      <c r="AC186">
        <f t="shared" si="48"/>
        <v>3.5973712020562529E-2</v>
      </c>
      <c r="AD186">
        <f t="shared" si="49"/>
        <v>-1.9137843229186679E-3</v>
      </c>
      <c r="AE186">
        <f t="shared" si="50"/>
        <v>2.7333018478986983E-2</v>
      </c>
      <c r="AF186">
        <f t="shared" si="51"/>
        <v>-2.7124256158212203E-2</v>
      </c>
      <c r="AG186">
        <f t="shared" si="52"/>
        <v>-2.5088122365414023E-2</v>
      </c>
      <c r="AH186">
        <f t="shared" si="53"/>
        <v>-1.7985731946631358E-2</v>
      </c>
      <c r="AI186">
        <f t="shared" si="54"/>
        <v>1.1813375893008269E-2</v>
      </c>
      <c r="AJ186">
        <f t="shared" si="43"/>
        <v>-2.432876054608742E-2</v>
      </c>
      <c r="AK186">
        <f t="shared" si="37"/>
        <v>-3.3205813344382287E-2</v>
      </c>
      <c r="AL186">
        <f t="shared" si="38"/>
        <v>1.1322600936560918E-2</v>
      </c>
      <c r="AM186">
        <f t="shared" si="39"/>
        <v>-5.1708922680864224E-2</v>
      </c>
      <c r="AN186">
        <f t="shared" si="40"/>
        <v>-3.394658401891841E-2</v>
      </c>
    </row>
    <row r="187" spans="1:40">
      <c r="A187" s="37">
        <v>42156</v>
      </c>
      <c r="B187" s="1">
        <v>11.901551</v>
      </c>
      <c r="C187" s="1">
        <v>13.617998</v>
      </c>
      <c r="D187" s="1">
        <v>50.997802999999998</v>
      </c>
      <c r="E187" s="1">
        <v>41.190472</v>
      </c>
      <c r="F187" s="1">
        <v>38.639384999999997</v>
      </c>
      <c r="G187" s="1">
        <v>42.938026000000001</v>
      </c>
      <c r="H187" s="1">
        <v>80.65405299999999</v>
      </c>
      <c r="I187" s="1">
        <v>58.420699999999997</v>
      </c>
      <c r="J187" s="1">
        <v>80.943435999999991</v>
      </c>
      <c r="K187" s="1">
        <v>20.344653999999998</v>
      </c>
      <c r="L187" s="1">
        <v>66.813468999999998</v>
      </c>
      <c r="M187" s="1">
        <v>12.377407999999999</v>
      </c>
      <c r="N187" s="1">
        <v>41.844127999999998</v>
      </c>
      <c r="O187" s="1">
        <v>27.717492999999997</v>
      </c>
      <c r="P187" s="1">
        <v>28.033141999999998</v>
      </c>
      <c r="Q187" s="1">
        <v>21.704499999999999</v>
      </c>
      <c r="R187" s="1">
        <v>38.219218999999995</v>
      </c>
      <c r="S187" s="1">
        <v>99.927749999999989</v>
      </c>
      <c r="V187" s="37">
        <v>42156</v>
      </c>
      <c r="W187">
        <f t="shared" si="41"/>
        <v>9.3674009379113632E-2</v>
      </c>
      <c r="X187">
        <f t="shared" si="42"/>
        <v>5.3679696531017222E-2</v>
      </c>
      <c r="Y187">
        <f t="shared" si="44"/>
        <v>1.1363724825557617E-2</v>
      </c>
      <c r="Z187">
        <f t="shared" si="45"/>
        <v>5.82907619995226E-2</v>
      </c>
      <c r="AA187">
        <f t="shared" si="46"/>
        <v>-5.7523560481099856E-2</v>
      </c>
      <c r="AB187">
        <f t="shared" si="47"/>
        <v>2.8942317935156066E-2</v>
      </c>
      <c r="AC187">
        <f t="shared" si="48"/>
        <v>-1.929435585834725E-2</v>
      </c>
      <c r="AD187">
        <f t="shared" si="49"/>
        <v>-1.9682869256958575E-2</v>
      </c>
      <c r="AE187">
        <f t="shared" si="50"/>
        <v>7.4899464361755166E-3</v>
      </c>
      <c r="AF187">
        <f t="shared" si="51"/>
        <v>7.5455153968212105E-2</v>
      </c>
      <c r="AG187">
        <f t="shared" si="52"/>
        <v>-1.769697065123197E-2</v>
      </c>
      <c r="AH187">
        <f t="shared" si="53"/>
        <v>-3.1501748993004064E-2</v>
      </c>
      <c r="AI187">
        <f t="shared" si="54"/>
        <v>2.8982824065541538E-2</v>
      </c>
      <c r="AJ187">
        <f t="shared" si="43"/>
        <v>-4.9400463454613214E-2</v>
      </c>
      <c r="AK187">
        <f t="shared" si="37"/>
        <v>-3.2927097504803424E-2</v>
      </c>
      <c r="AL187">
        <f t="shared" si="38"/>
        <v>0.23511258034048235</v>
      </c>
      <c r="AM187">
        <f t="shared" si="39"/>
        <v>5.775761665878118E-2</v>
      </c>
      <c r="AN187">
        <f t="shared" si="40"/>
        <v>-4.1187357866057893E-3</v>
      </c>
    </row>
    <row r="188" spans="1:40">
      <c r="A188" s="37">
        <v>42186</v>
      </c>
      <c r="B188" s="1">
        <v>13.016416999999999</v>
      </c>
      <c r="C188" s="1">
        <v>14.349008</v>
      </c>
      <c r="D188" s="1">
        <v>51.577327999999994</v>
      </c>
      <c r="E188" s="1">
        <v>43.591495999999999</v>
      </c>
      <c r="F188" s="1">
        <v>36.416709999999995</v>
      </c>
      <c r="G188" s="1">
        <v>44.180751999999998</v>
      </c>
      <c r="H188" s="1">
        <v>79.097884999999991</v>
      </c>
      <c r="I188" s="1">
        <v>57.270812999999997</v>
      </c>
      <c r="J188" s="1">
        <v>81.549697999999992</v>
      </c>
      <c r="K188" s="1">
        <v>21.879763000000001</v>
      </c>
      <c r="L188" s="1">
        <v>65.631073000000001</v>
      </c>
      <c r="M188" s="1">
        <v>11.987497999999999</v>
      </c>
      <c r="N188" s="1">
        <v>43.056888999999998</v>
      </c>
      <c r="O188" s="1">
        <v>26.348236</v>
      </c>
      <c r="P188" s="1">
        <v>27.110091999999998</v>
      </c>
      <c r="Q188" s="1">
        <v>26.807500999999998</v>
      </c>
      <c r="R188" s="1">
        <v>40.426670000000001</v>
      </c>
      <c r="S188" s="1">
        <v>99.516173999999992</v>
      </c>
      <c r="V188" s="37">
        <v>42186</v>
      </c>
      <c r="W188">
        <f t="shared" si="41"/>
        <v>-0.11290311304562531</v>
      </c>
      <c r="X188">
        <f t="shared" si="42"/>
        <v>-8.6129647429285708E-2</v>
      </c>
      <c r="Y188">
        <f t="shared" si="44"/>
        <v>-5.8529864129448494E-2</v>
      </c>
      <c r="Z188">
        <f t="shared" si="45"/>
        <v>-8.4409307723689903E-2</v>
      </c>
      <c r="AA188">
        <f t="shared" si="46"/>
        <v>-2.3632310551941645E-2</v>
      </c>
      <c r="AB188">
        <f t="shared" si="47"/>
        <v>-0.15131786348951229</v>
      </c>
      <c r="AC188">
        <f t="shared" si="48"/>
        <v>-0.13524384375132156</v>
      </c>
      <c r="AD188">
        <f t="shared" si="49"/>
        <v>-7.1073323160263199E-2</v>
      </c>
      <c r="AE188">
        <f t="shared" si="50"/>
        <v>-3.763368933628658E-2</v>
      </c>
      <c r="AF188">
        <f t="shared" si="51"/>
        <v>-0.10648927047335932</v>
      </c>
      <c r="AG188">
        <f t="shared" si="52"/>
        <v>8.6771246296703103E-3</v>
      </c>
      <c r="AH188">
        <f t="shared" si="53"/>
        <v>-7.7396384132869006E-2</v>
      </c>
      <c r="AI188">
        <f t="shared" si="54"/>
        <v>-7.8451743227431009E-2</v>
      </c>
      <c r="AJ188">
        <f t="shared" si="43"/>
        <v>-5.5829923490893392E-3</v>
      </c>
      <c r="AK188">
        <f t="shared" si="37"/>
        <v>-7.0403707962333695E-2</v>
      </c>
      <c r="AL188">
        <f t="shared" si="38"/>
        <v>-4.3383379898036763E-2</v>
      </c>
      <c r="AM188">
        <f t="shared" si="39"/>
        <v>-6.809413191835989E-2</v>
      </c>
      <c r="AN188">
        <f t="shared" si="40"/>
        <v>-8.7042835871081664E-2</v>
      </c>
    </row>
    <row r="189" spans="1:40">
      <c r="A189" s="37">
        <v>42217</v>
      </c>
      <c r="B189" s="1">
        <v>11.546823</v>
      </c>
      <c r="C189" s="1">
        <v>13.113132999999999</v>
      </c>
      <c r="D189" s="1">
        <v>48.558513999999995</v>
      </c>
      <c r="E189" s="1">
        <v>39.911968000000002</v>
      </c>
      <c r="F189" s="1">
        <v>35.556098999999996</v>
      </c>
      <c r="G189" s="1">
        <v>37.495415000000001</v>
      </c>
      <c r="H189" s="1">
        <v>68.400382999999991</v>
      </c>
      <c r="I189" s="1">
        <v>53.200385999999995</v>
      </c>
      <c r="J189" s="1">
        <v>78.480682000000002</v>
      </c>
      <c r="K189" s="1">
        <v>19.549803000000001</v>
      </c>
      <c r="L189" s="1">
        <v>66.200561999999991</v>
      </c>
      <c r="M189" s="1">
        <v>11.059709</v>
      </c>
      <c r="N189" s="1">
        <v>39.679001</v>
      </c>
      <c r="O189" s="1">
        <v>26.201134</v>
      </c>
      <c r="P189" s="1">
        <v>25.201440999999999</v>
      </c>
      <c r="Q189" s="1">
        <v>25.644500999999998</v>
      </c>
      <c r="R189" s="1">
        <v>37.673850999999999</v>
      </c>
      <c r="S189" s="1">
        <v>90.854003999999989</v>
      </c>
      <c r="V189" s="37">
        <v>42217</v>
      </c>
      <c r="W189">
        <f t="shared" si="41"/>
        <v>-7.0019779466611684E-2</v>
      </c>
      <c r="X189">
        <f t="shared" si="42"/>
        <v>-4.6511539233225166E-2</v>
      </c>
      <c r="Y189">
        <f t="shared" si="44"/>
        <v>-4.8829871523663138E-2</v>
      </c>
      <c r="Z189">
        <f t="shared" si="45"/>
        <v>-7.2363657938390849E-2</v>
      </c>
      <c r="AA189">
        <f t="shared" si="46"/>
        <v>1.1496508658050525E-2</v>
      </c>
      <c r="AB189">
        <f t="shared" si="47"/>
        <v>-0.1243816610644263</v>
      </c>
      <c r="AC189">
        <f t="shared" si="48"/>
        <v>-9.513328309872178E-2</v>
      </c>
      <c r="AD189">
        <f t="shared" si="49"/>
        <v>1.7971260584462773E-2</v>
      </c>
      <c r="AE189">
        <f t="shared" si="50"/>
        <v>-4.4720419223676075E-2</v>
      </c>
      <c r="AF189">
        <f t="shared" si="51"/>
        <v>-1.7521762239752658E-2</v>
      </c>
      <c r="AG189">
        <f t="shared" si="52"/>
        <v>-3.3758746640247445E-2</v>
      </c>
      <c r="AH189">
        <f t="shared" si="53"/>
        <v>-2.8782764537475653E-2</v>
      </c>
      <c r="AI189">
        <f t="shared" si="54"/>
        <v>-3.0841376273561025E-2</v>
      </c>
      <c r="AJ189">
        <f t="shared" si="43"/>
        <v>-9.5476401899246052E-3</v>
      </c>
      <c r="AK189">
        <f t="shared" si="37"/>
        <v>-1.7388569169517001E-2</v>
      </c>
      <c r="AL189">
        <f t="shared" si="38"/>
        <v>-1.94977472948287E-3</v>
      </c>
      <c r="AM189">
        <f t="shared" si="39"/>
        <v>2.370976091613243E-2</v>
      </c>
      <c r="AN189">
        <f t="shared" si="40"/>
        <v>-1.1606577075018009E-2</v>
      </c>
    </row>
    <row r="190" spans="1:40">
      <c r="A190" s="37">
        <v>42248</v>
      </c>
      <c r="B190" s="1">
        <v>10.738317</v>
      </c>
      <c r="C190" s="1">
        <v>12.503221</v>
      </c>
      <c r="D190" s="1">
        <v>46.187407999999998</v>
      </c>
      <c r="E190" s="1">
        <v>37.023792</v>
      </c>
      <c r="F190" s="1">
        <v>35.964869999999998</v>
      </c>
      <c r="G190" s="1">
        <v>32.831672999999995</v>
      </c>
      <c r="H190" s="1">
        <v>61.893229999999996</v>
      </c>
      <c r="I190" s="1">
        <v>54.156464</v>
      </c>
      <c r="J190" s="1">
        <v>74.970992999999993</v>
      </c>
      <c r="K190" s="1">
        <v>19.207255999999997</v>
      </c>
      <c r="L190" s="1">
        <v>63.965713999999998</v>
      </c>
      <c r="M190" s="1">
        <v>10.741379999999999</v>
      </c>
      <c r="N190" s="1">
        <v>38.455245999999995</v>
      </c>
      <c r="O190" s="1">
        <v>25.950975</v>
      </c>
      <c r="P190" s="1">
        <v>24.763223999999997</v>
      </c>
      <c r="Q190" s="1">
        <v>25.5945</v>
      </c>
      <c r="R190" s="1">
        <v>38.567088999999996</v>
      </c>
      <c r="S190" s="1">
        <v>89.799499999999995</v>
      </c>
      <c r="V190" s="37">
        <v>42248</v>
      </c>
      <c r="W190">
        <f t="shared" si="41"/>
        <v>-3.7212535260413834E-2</v>
      </c>
      <c r="X190">
        <f t="shared" si="42"/>
        <v>8.048965942455949E-2</v>
      </c>
      <c r="Y190">
        <f t="shared" si="44"/>
        <v>5.3796956954155067E-2</v>
      </c>
      <c r="Z190">
        <f t="shared" si="45"/>
        <v>7.1760072550105067E-2</v>
      </c>
      <c r="AA190">
        <f t="shared" si="46"/>
        <v>6.4894326046500445E-2</v>
      </c>
      <c r="AB190">
        <f t="shared" si="47"/>
        <v>-4.6220611419951931E-4</v>
      </c>
      <c r="AC190">
        <f t="shared" si="48"/>
        <v>6.2462922035253249E-2</v>
      </c>
      <c r="AD190">
        <f t="shared" si="49"/>
        <v>6.1717877297158823E-2</v>
      </c>
      <c r="AE190">
        <f t="shared" si="50"/>
        <v>9.8947575631017776E-2</v>
      </c>
      <c r="AF190">
        <f t="shared" si="51"/>
        <v>7.6727305555775449E-2</v>
      </c>
      <c r="AG190">
        <f t="shared" si="52"/>
        <v>-1.1736005948436752E-2</v>
      </c>
      <c r="AH190">
        <f t="shared" si="53"/>
        <v>0.12447050565197398</v>
      </c>
      <c r="AI190">
        <f t="shared" si="54"/>
        <v>5.4332821066857842E-2</v>
      </c>
      <c r="AJ190">
        <f t="shared" si="43"/>
        <v>4.058841719819771E-2</v>
      </c>
      <c r="AK190">
        <f t="shared" si="37"/>
        <v>8.3408888923348634E-2</v>
      </c>
      <c r="AL190">
        <f t="shared" si="38"/>
        <v>0.22272363203031895</v>
      </c>
      <c r="AM190">
        <f t="shared" si="39"/>
        <v>0.18933601651916235</v>
      </c>
      <c r="AN190">
        <f t="shared" si="40"/>
        <v>-3.3731034137161033E-2</v>
      </c>
    </row>
    <row r="191" spans="1:40">
      <c r="A191" s="37">
        <v>42278</v>
      </c>
      <c r="B191" s="1">
        <v>10.338716999999999</v>
      </c>
      <c r="C191" s="1">
        <v>13.509601</v>
      </c>
      <c r="D191" s="1">
        <v>48.672149999999995</v>
      </c>
      <c r="E191" s="1">
        <v>39.680622</v>
      </c>
      <c r="F191" s="1">
        <v>38.298786</v>
      </c>
      <c r="G191" s="1">
        <v>32.816497999999996</v>
      </c>
      <c r="H191" s="1">
        <v>65.759261999999993</v>
      </c>
      <c r="I191" s="1">
        <v>57.498885999999999</v>
      </c>
      <c r="J191" s="1">
        <v>82.389190999999997</v>
      </c>
      <c r="K191" s="1">
        <v>20.680976999999999</v>
      </c>
      <c r="L191" s="1">
        <v>63.215011999999994</v>
      </c>
      <c r="M191" s="1">
        <v>12.078365</v>
      </c>
      <c r="N191" s="1">
        <v>40.544627999999996</v>
      </c>
      <c r="O191" s="1">
        <v>27.004283999999998</v>
      </c>
      <c r="P191" s="1">
        <v>26.828696999999998</v>
      </c>
      <c r="Q191" s="1">
        <v>31.294999999999998</v>
      </c>
      <c r="R191" s="1">
        <v>45.869228</v>
      </c>
      <c r="S191" s="1">
        <v>86.770470000000003</v>
      </c>
      <c r="V191" s="37">
        <v>42278</v>
      </c>
      <c r="W191">
        <f t="shared" si="41"/>
        <v>-5.4813667885483149E-2</v>
      </c>
      <c r="X191">
        <f t="shared" si="42"/>
        <v>3.8736081102617267E-2</v>
      </c>
      <c r="Y191">
        <f t="shared" si="44"/>
        <v>4.530909359870075E-2</v>
      </c>
      <c r="Z191">
        <f t="shared" si="45"/>
        <v>1.823277870997073E-2</v>
      </c>
      <c r="AA191">
        <f t="shared" si="46"/>
        <v>2.7395124221430908E-3</v>
      </c>
      <c r="AB191">
        <f t="shared" si="47"/>
        <v>-0.23342481577406582</v>
      </c>
      <c r="AC191">
        <f t="shared" si="48"/>
        <v>2.0128677843130424E-2</v>
      </c>
      <c r="AD191">
        <f t="shared" si="49"/>
        <v>-1.1355611306973832E-2</v>
      </c>
      <c r="AE191">
        <f t="shared" si="50"/>
        <v>3.0005416608593703E-2</v>
      </c>
      <c r="AF191">
        <f t="shared" si="51"/>
        <v>-3.1046453946542173E-2</v>
      </c>
      <c r="AG191">
        <f t="shared" si="52"/>
        <v>-1.8412287891363531E-2</v>
      </c>
      <c r="AH191">
        <f t="shared" si="53"/>
        <v>6.3769558214211944E-2</v>
      </c>
      <c r="AI191">
        <f t="shared" si="54"/>
        <v>1.7731621560321115E-2</v>
      </c>
      <c r="AJ191">
        <f t="shared" si="43"/>
        <v>4.831603755907749E-3</v>
      </c>
      <c r="AK191">
        <f t="shared" si="37"/>
        <v>-1.0041747461682581E-2</v>
      </c>
      <c r="AL191">
        <f t="shared" si="38"/>
        <v>6.2150567183256074E-2</v>
      </c>
      <c r="AM191">
        <f t="shared" si="39"/>
        <v>3.2484784788616862E-2</v>
      </c>
      <c r="AN191">
        <f t="shared" si="40"/>
        <v>-4.7119717111132877E-3</v>
      </c>
    </row>
    <row r="192" spans="1:40">
      <c r="A192" s="37">
        <v>42309</v>
      </c>
      <c r="B192" s="1">
        <v>9.7720140000000004</v>
      </c>
      <c r="C192" s="1">
        <v>14.032909999999999</v>
      </c>
      <c r="D192" s="1">
        <v>50.877440999999997</v>
      </c>
      <c r="E192" s="1">
        <v>40.404109999999996</v>
      </c>
      <c r="F192" s="1">
        <v>38.403706</v>
      </c>
      <c r="G192" s="1">
        <v>25.156312999999997</v>
      </c>
      <c r="H192" s="1">
        <v>67.082909000000001</v>
      </c>
      <c r="I192" s="1">
        <v>56.845950999999999</v>
      </c>
      <c r="J192" s="1">
        <v>84.861312999999996</v>
      </c>
      <c r="K192" s="1">
        <v>20.038906000000001</v>
      </c>
      <c r="L192" s="1">
        <v>62.051078999999994</v>
      </c>
      <c r="M192" s="1">
        <v>12.848597</v>
      </c>
      <c r="N192" s="1">
        <v>41.263549999999995</v>
      </c>
      <c r="O192" s="1">
        <v>27.134757999999998</v>
      </c>
      <c r="P192" s="1">
        <v>26.559289999999997</v>
      </c>
      <c r="Q192" s="1">
        <v>33.240001999999997</v>
      </c>
      <c r="R192" s="1">
        <v>47.359279999999998</v>
      </c>
      <c r="S192" s="1">
        <v>86.361609999999999</v>
      </c>
      <c r="V192" s="37">
        <v>42309</v>
      </c>
      <c r="W192">
        <f t="shared" si="41"/>
        <v>-3.2352082180807408E-2</v>
      </c>
      <c r="X192">
        <f t="shared" si="42"/>
        <v>-3.4423223693446317E-2</v>
      </c>
      <c r="Y192">
        <f t="shared" si="44"/>
        <v>-9.7478959289638515E-3</v>
      </c>
      <c r="Z192">
        <f t="shared" si="45"/>
        <v>-4.3260970232978729E-2</v>
      </c>
      <c r="AA192">
        <f t="shared" si="46"/>
        <v>-2.1165873939353728E-2</v>
      </c>
      <c r="AB192">
        <f t="shared" si="47"/>
        <v>-0.10491302918674926</v>
      </c>
      <c r="AC192">
        <f t="shared" si="48"/>
        <v>-4.1473201467753955E-2</v>
      </c>
      <c r="AD192">
        <f t="shared" si="49"/>
        <v>6.1063469586426597E-2</v>
      </c>
      <c r="AE192">
        <f t="shared" si="50"/>
        <v>-2.2260744421901686E-2</v>
      </c>
      <c r="AF192">
        <f t="shared" si="51"/>
        <v>-7.0021786618492095E-3</v>
      </c>
      <c r="AG192">
        <f t="shared" si="52"/>
        <v>-2.9173288026143659E-2</v>
      </c>
      <c r="AH192">
        <f t="shared" si="53"/>
        <v>-4.6875156875104761E-2</v>
      </c>
      <c r="AI192">
        <f t="shared" si="54"/>
        <v>-6.6485312097480037E-3</v>
      </c>
      <c r="AJ192">
        <f t="shared" si="43"/>
        <v>-4.0421735104473666E-2</v>
      </c>
      <c r="AK192">
        <f t="shared" si="37"/>
        <v>-0.1064194863642815</v>
      </c>
      <c r="AL192">
        <f t="shared" si="38"/>
        <v>1.6681587443947817E-2</v>
      </c>
      <c r="AM192">
        <f t="shared" si="39"/>
        <v>2.7671620007736576E-2</v>
      </c>
      <c r="AN192">
        <f t="shared" si="40"/>
        <v>-3.6511825103771106E-3</v>
      </c>
    </row>
    <row r="193" spans="1:40">
      <c r="A193" s="37">
        <v>42339</v>
      </c>
      <c r="B193" s="1">
        <v>9.4558689999999999</v>
      </c>
      <c r="C193" s="1">
        <v>13.549852</v>
      </c>
      <c r="D193" s="1">
        <v>50.381492999999999</v>
      </c>
      <c r="E193" s="1">
        <v>38.656188999999998</v>
      </c>
      <c r="F193" s="1">
        <v>37.590857999999997</v>
      </c>
      <c r="G193" s="1">
        <v>22.517087999999998</v>
      </c>
      <c r="H193" s="1">
        <v>64.300765999999996</v>
      </c>
      <c r="I193" s="1">
        <v>60.317161999999996</v>
      </c>
      <c r="J193" s="1">
        <v>82.972236999999993</v>
      </c>
      <c r="K193" s="1">
        <v>19.898589999999999</v>
      </c>
      <c r="L193" s="1">
        <v>60.240845</v>
      </c>
      <c r="M193" s="1">
        <v>12.246316999999999</v>
      </c>
      <c r="N193" s="1">
        <v>40.989207999999998</v>
      </c>
      <c r="O193" s="1">
        <v>26.037924</v>
      </c>
      <c r="P193" s="1">
        <v>23.732863999999999</v>
      </c>
      <c r="Q193" s="1">
        <v>33.794497999999997</v>
      </c>
      <c r="R193" s="1">
        <v>48.669787999999997</v>
      </c>
      <c r="S193" s="1">
        <v>86.04628799999999</v>
      </c>
      <c r="V193" s="37">
        <v>42339</v>
      </c>
      <c r="W193">
        <f t="shared" si="41"/>
        <v>-0.1682097118731235</v>
      </c>
      <c r="X193">
        <f t="shared" si="42"/>
        <v>-0.15746828821451339</v>
      </c>
      <c r="Y193">
        <f t="shared" si="44"/>
        <v>-9.8894647683426207E-2</v>
      </c>
      <c r="Z193">
        <f t="shared" si="45"/>
        <v>-0.1771982230322808</v>
      </c>
      <c r="AA193">
        <f t="shared" si="46"/>
        <v>-5.1400103716706773E-2</v>
      </c>
      <c r="AB193">
        <f t="shared" si="47"/>
        <v>0.16631604406395725</v>
      </c>
      <c r="AC193">
        <f t="shared" si="48"/>
        <v>1.7532450546545699E-2</v>
      </c>
      <c r="AD193">
        <f t="shared" si="49"/>
        <v>2.8712060424858885E-2</v>
      </c>
      <c r="AE193">
        <f t="shared" si="50"/>
        <v>-0.11165134670287355</v>
      </c>
      <c r="AF193">
        <f t="shared" si="51"/>
        <v>-5.5452270738780909E-2</v>
      </c>
      <c r="AG193">
        <f t="shared" si="52"/>
        <v>-0.23076935590793923</v>
      </c>
      <c r="AH193">
        <f t="shared" si="53"/>
        <v>-1.4903174562605198E-2</v>
      </c>
      <c r="AI193">
        <f t="shared" si="54"/>
        <v>-7.5975071291936078E-2</v>
      </c>
      <c r="AJ193">
        <f t="shared" si="43"/>
        <v>-3.3953974210847282E-2</v>
      </c>
      <c r="AK193">
        <f t="shared" si="37"/>
        <v>-7.524237277051779E-2</v>
      </c>
      <c r="AL193">
        <f t="shared" si="38"/>
        <v>-0.13151543189071782</v>
      </c>
      <c r="AM193">
        <f t="shared" si="39"/>
        <v>-7.0295149015236272E-3</v>
      </c>
      <c r="AN193">
        <f t="shared" si="40"/>
        <v>-9.3227868237616501E-2</v>
      </c>
    </row>
    <row r="194" spans="1:40">
      <c r="A194" s="37">
        <v>42370</v>
      </c>
      <c r="B194" s="1">
        <v>7.8652999999999995</v>
      </c>
      <c r="C194" s="1">
        <v>11.416179999999999</v>
      </c>
      <c r="D194" s="1">
        <v>45.399032999999996</v>
      </c>
      <c r="E194" s="1">
        <v>31.806380999999998</v>
      </c>
      <c r="F194" s="1">
        <v>35.658684000000001</v>
      </c>
      <c r="G194" s="1">
        <v>26.262041</v>
      </c>
      <c r="H194" s="1">
        <v>65.428116000000003</v>
      </c>
      <c r="I194" s="1">
        <v>62.048991999999998</v>
      </c>
      <c r="J194" s="1">
        <v>73.708275</v>
      </c>
      <c r="K194" s="1">
        <v>18.795168</v>
      </c>
      <c r="L194" s="1">
        <v>46.339103999999999</v>
      </c>
      <c r="M194" s="1">
        <v>12.063808</v>
      </c>
      <c r="N194" s="1">
        <v>37.875050000000002</v>
      </c>
      <c r="O194" s="1">
        <v>25.153832999999999</v>
      </c>
      <c r="P194" s="1">
        <v>21.947146999999998</v>
      </c>
      <c r="Q194" s="1">
        <v>29.349999999999998</v>
      </c>
      <c r="R194" s="1">
        <v>48.327663000000001</v>
      </c>
      <c r="S194" s="1">
        <v>78.02437599999999</v>
      </c>
      <c r="V194" s="37">
        <v>42370</v>
      </c>
      <c r="W194">
        <f t="shared" si="41"/>
        <v>-0.12430434948444435</v>
      </c>
      <c r="X194">
        <f t="shared" si="42"/>
        <v>-0.11456888381227341</v>
      </c>
      <c r="Y194">
        <f t="shared" si="44"/>
        <v>-4.7433917810540079E-2</v>
      </c>
      <c r="Z194">
        <f t="shared" si="45"/>
        <v>-8.6473528692245713E-2</v>
      </c>
      <c r="AA194">
        <f t="shared" si="46"/>
        <v>3.9829204016614841E-2</v>
      </c>
      <c r="AB194">
        <f t="shared" si="47"/>
        <v>6.9289702197936565E-2</v>
      </c>
      <c r="AC194">
        <f t="shared" si="48"/>
        <v>4.1163526701578891E-2</v>
      </c>
      <c r="AD194">
        <f t="shared" si="49"/>
        <v>-8.571920072448615E-3</v>
      </c>
      <c r="AE194">
        <f t="shared" si="50"/>
        <v>-3.4983589020364243E-3</v>
      </c>
      <c r="AF194">
        <f t="shared" si="51"/>
        <v>-2.6894146410396658E-2</v>
      </c>
      <c r="AG194">
        <f t="shared" si="52"/>
        <v>4.3425246202429824E-2</v>
      </c>
      <c r="AH194">
        <f t="shared" si="53"/>
        <v>-4.6177956413099512E-2</v>
      </c>
      <c r="AI194">
        <f t="shared" si="54"/>
        <v>-6.5896837099885017E-2</v>
      </c>
      <c r="AJ194">
        <f t="shared" si="43"/>
        <v>3.1483392610581404E-2</v>
      </c>
      <c r="AK194">
        <f t="shared" ref="AK194:AK257" si="55">(P195-P194)/P194</f>
        <v>-6.6776788800839045E-3</v>
      </c>
      <c r="AL194">
        <f t="shared" ref="AL194:AL257" si="56">(Q195-Q194)/Q194</f>
        <v>-5.8739386712095325E-2</v>
      </c>
      <c r="AM194">
        <f t="shared" ref="AM194:AM257" si="57">(R195-R194)/R194</f>
        <v>-7.6420372323817973E-2</v>
      </c>
      <c r="AN194">
        <f t="shared" ref="AN194:AN257" si="58">(S195-S194)/S194</f>
        <v>5.0003757799998445E-2</v>
      </c>
    </row>
    <row r="195" spans="1:40">
      <c r="A195" s="37">
        <v>42401</v>
      </c>
      <c r="B195" s="1">
        <v>6.8876089999999994</v>
      </c>
      <c r="C195" s="1">
        <v>10.108241</v>
      </c>
      <c r="D195" s="1">
        <v>43.245578999999999</v>
      </c>
      <c r="E195" s="1">
        <v>29.055971</v>
      </c>
      <c r="F195" s="1">
        <v>37.078941</v>
      </c>
      <c r="G195" s="1">
        <v>28.08173</v>
      </c>
      <c r="H195" s="1">
        <v>68.121368000000004</v>
      </c>
      <c r="I195" s="1">
        <v>61.517112999999995</v>
      </c>
      <c r="J195" s="1">
        <v>73.450417000000002</v>
      </c>
      <c r="K195" s="1">
        <v>18.289687999999998</v>
      </c>
      <c r="L195" s="1">
        <v>48.351391</v>
      </c>
      <c r="M195" s="1">
        <v>11.506725999999999</v>
      </c>
      <c r="N195" s="1">
        <v>35.379204000000001</v>
      </c>
      <c r="O195" s="1">
        <v>25.945760999999997</v>
      </c>
      <c r="P195" s="1">
        <v>21.800591000000001</v>
      </c>
      <c r="Q195" s="1">
        <v>27.625999</v>
      </c>
      <c r="R195" s="1">
        <v>44.634444999999999</v>
      </c>
      <c r="S195" s="1">
        <v>81.925888</v>
      </c>
      <c r="V195" s="37">
        <v>42401</v>
      </c>
      <c r="W195">
        <f t="shared" ref="W195:W258" si="59">(B196-B195)/B195</f>
        <v>-8.6864541817051388E-2</v>
      </c>
      <c r="X195">
        <f t="shared" ref="X195:X258" si="60">(C196-C195)/C195</f>
        <v>7.9872452585964329E-2</v>
      </c>
      <c r="Y195">
        <f t="shared" si="44"/>
        <v>5.1865417271901956E-2</v>
      </c>
      <c r="Z195">
        <f t="shared" si="45"/>
        <v>7.464575869792818E-2</v>
      </c>
      <c r="AA195">
        <f t="shared" si="46"/>
        <v>0.10305326681255542</v>
      </c>
      <c r="AB195">
        <f t="shared" si="47"/>
        <v>2.0365518791043088E-2</v>
      </c>
      <c r="AC195">
        <f t="shared" si="48"/>
        <v>-3.9785504601140796E-2</v>
      </c>
      <c r="AD195">
        <f t="shared" si="49"/>
        <v>2.515908053097354E-2</v>
      </c>
      <c r="AE195">
        <f t="shared" si="50"/>
        <v>0.12561287432854182</v>
      </c>
      <c r="AF195">
        <f t="shared" si="51"/>
        <v>9.0325761707909825E-3</v>
      </c>
      <c r="AG195">
        <f t="shared" si="52"/>
        <v>0.10471425734163468</v>
      </c>
      <c r="AH195">
        <f t="shared" si="53"/>
        <v>-8.7507949698289247E-3</v>
      </c>
      <c r="AI195">
        <f t="shared" si="54"/>
        <v>3.8666895953905552E-2</v>
      </c>
      <c r="AJ195">
        <f t="shared" ref="AJ195:AJ258" si="61">(O196-O195)/O195</f>
        <v>0.11562308771748887</v>
      </c>
      <c r="AK195">
        <f t="shared" si="55"/>
        <v>0.133327486397043</v>
      </c>
      <c r="AL195">
        <f t="shared" si="56"/>
        <v>7.4422648028040453E-2</v>
      </c>
      <c r="AM195">
        <f t="shared" si="57"/>
        <v>9.3288983429725636E-2</v>
      </c>
      <c r="AN195">
        <f t="shared" si="58"/>
        <v>0.16764855817003779</v>
      </c>
    </row>
    <row r="196" spans="1:40">
      <c r="A196" s="37">
        <v>42430</v>
      </c>
      <c r="B196" s="1">
        <v>6.28932</v>
      </c>
      <c r="C196" s="1">
        <v>10.915611</v>
      </c>
      <c r="D196" s="1">
        <v>45.488529</v>
      </c>
      <c r="E196" s="1">
        <v>31.224875999999998</v>
      </c>
      <c r="F196" s="1">
        <v>40.900047000000001</v>
      </c>
      <c r="G196" s="1">
        <v>28.653628999999999</v>
      </c>
      <c r="H196" s="1">
        <v>65.411124999999998</v>
      </c>
      <c r="I196" s="1">
        <v>63.064826999999994</v>
      </c>
      <c r="J196" s="1">
        <v>82.676734999999994</v>
      </c>
      <c r="K196" s="1">
        <v>18.454891</v>
      </c>
      <c r="L196" s="1">
        <v>53.414470999999999</v>
      </c>
      <c r="M196" s="1">
        <v>11.406032999999999</v>
      </c>
      <c r="N196" s="1">
        <v>36.747208000000001</v>
      </c>
      <c r="O196" s="1">
        <v>28.945689999999999</v>
      </c>
      <c r="P196" s="1">
        <v>24.707208999999999</v>
      </c>
      <c r="Q196" s="1">
        <v>29.681998999999998</v>
      </c>
      <c r="R196" s="1">
        <v>48.798347</v>
      </c>
      <c r="S196" s="1">
        <v>95.660645000000002</v>
      </c>
      <c r="V196" s="37">
        <v>42430</v>
      </c>
      <c r="W196">
        <f t="shared" si="59"/>
        <v>0.18996425686719701</v>
      </c>
      <c r="X196">
        <f t="shared" si="60"/>
        <v>8.1021025758429704E-2</v>
      </c>
      <c r="Y196">
        <f t="shared" si="44"/>
        <v>6.7206921551585044E-2</v>
      </c>
      <c r="Z196">
        <f t="shared" si="45"/>
        <v>0.10850313705008796</v>
      </c>
      <c r="AA196">
        <f t="shared" si="46"/>
        <v>7.3653044946378546E-2</v>
      </c>
      <c r="AB196">
        <f t="shared" si="47"/>
        <v>-9.4690204860263999E-2</v>
      </c>
      <c r="AC196">
        <f t="shared" si="48"/>
        <v>0.10071771430318621</v>
      </c>
      <c r="AD196">
        <f t="shared" si="49"/>
        <v>-2.6606716926377897E-2</v>
      </c>
      <c r="AE196">
        <f t="shared" si="50"/>
        <v>6.3776986355351409E-2</v>
      </c>
      <c r="AF196">
        <f t="shared" si="51"/>
        <v>0.10357611973974813</v>
      </c>
      <c r="AG196">
        <f t="shared" si="52"/>
        <v>6.5635078553899717E-2</v>
      </c>
      <c r="AH196">
        <f t="shared" si="53"/>
        <v>2.8892078429020879E-2</v>
      </c>
      <c r="AI196">
        <f t="shared" si="54"/>
        <v>3.3498898746266548E-2</v>
      </c>
      <c r="AJ196">
        <f t="shared" si="61"/>
        <v>3.1764176290148931E-2</v>
      </c>
      <c r="AK196">
        <f t="shared" si="55"/>
        <v>-0.13992118656542715</v>
      </c>
      <c r="AL196">
        <f t="shared" si="56"/>
        <v>0.11109430331831775</v>
      </c>
      <c r="AM196">
        <f t="shared" si="57"/>
        <v>-9.7048553714329772E-2</v>
      </c>
      <c r="AN196">
        <f t="shared" si="58"/>
        <v>-3.6381826612187335E-2</v>
      </c>
    </row>
    <row r="197" spans="1:40">
      <c r="A197" s="37">
        <v>42461</v>
      </c>
      <c r="B197" s="1">
        <v>7.4840659999999994</v>
      </c>
      <c r="C197" s="1">
        <v>11.800004999999999</v>
      </c>
      <c r="D197" s="1">
        <v>48.545673000000001</v>
      </c>
      <c r="E197" s="1">
        <v>34.612873</v>
      </c>
      <c r="F197" s="1">
        <v>43.912459999999996</v>
      </c>
      <c r="G197" s="1">
        <v>25.940410999999997</v>
      </c>
      <c r="H197" s="1">
        <v>71.999184</v>
      </c>
      <c r="I197" s="1">
        <v>61.386879</v>
      </c>
      <c r="J197" s="1">
        <v>87.949607999999998</v>
      </c>
      <c r="K197" s="1">
        <v>20.366377</v>
      </c>
      <c r="L197" s="1">
        <v>56.920333999999997</v>
      </c>
      <c r="M197" s="1">
        <v>11.735576999999999</v>
      </c>
      <c r="N197" s="1">
        <v>37.978198999999996</v>
      </c>
      <c r="O197" s="1">
        <v>29.865126</v>
      </c>
      <c r="P197" s="1">
        <v>21.250146999999998</v>
      </c>
      <c r="Q197" s="1">
        <v>32.979500000000002</v>
      </c>
      <c r="R197" s="1">
        <v>44.062537999999996</v>
      </c>
      <c r="S197" s="1">
        <v>92.180335999999997</v>
      </c>
      <c r="V197" s="37">
        <v>42461</v>
      </c>
      <c r="W197">
        <f t="shared" si="59"/>
        <v>5.2736173090937505E-2</v>
      </c>
      <c r="X197">
        <f t="shared" si="60"/>
        <v>1.5796772967469175E-2</v>
      </c>
      <c r="Y197">
        <f t="shared" si="44"/>
        <v>4.0398924946410661E-2</v>
      </c>
      <c r="Z197">
        <f t="shared" si="45"/>
        <v>7.330422990313396E-3</v>
      </c>
      <c r="AA197">
        <f t="shared" si="46"/>
        <v>-2.4579037475923569E-2</v>
      </c>
      <c r="AB197">
        <f t="shared" si="47"/>
        <v>-0.16115195707577645</v>
      </c>
      <c r="AC197">
        <f t="shared" si="48"/>
        <v>-2.1638592459603513E-2</v>
      </c>
      <c r="AD197">
        <f t="shared" si="49"/>
        <v>1.9768703341311703E-2</v>
      </c>
      <c r="AE197">
        <f t="shared" si="50"/>
        <v>1.1258071781286431E-2</v>
      </c>
      <c r="AF197">
        <f t="shared" si="51"/>
        <v>6.0837526478077039E-2</v>
      </c>
      <c r="AG197">
        <f t="shared" si="52"/>
        <v>9.9093761466684319E-3</v>
      </c>
      <c r="AH197">
        <f t="shared" si="53"/>
        <v>-5.3974167610165137E-2</v>
      </c>
      <c r="AI197">
        <f t="shared" si="54"/>
        <v>1.4806310325563364E-2</v>
      </c>
      <c r="AJ197">
        <f t="shared" si="61"/>
        <v>-1.0473754572473688E-2</v>
      </c>
      <c r="AK197">
        <f t="shared" si="55"/>
        <v>6.528679542781525E-2</v>
      </c>
      <c r="AL197">
        <f t="shared" si="56"/>
        <v>9.5817098500583592E-2</v>
      </c>
      <c r="AM197">
        <f t="shared" si="57"/>
        <v>6.2763134524842917E-2</v>
      </c>
      <c r="AN197">
        <f t="shared" si="58"/>
        <v>5.3446865283719495E-2</v>
      </c>
    </row>
    <row r="198" spans="1:40">
      <c r="A198" s="37">
        <v>42491</v>
      </c>
      <c r="B198" s="1">
        <v>7.8787469999999997</v>
      </c>
      <c r="C198" s="1">
        <v>11.986407</v>
      </c>
      <c r="D198" s="1">
        <v>50.506865999999995</v>
      </c>
      <c r="E198" s="1">
        <v>34.866599999999998</v>
      </c>
      <c r="F198" s="1">
        <v>42.833134000000001</v>
      </c>
      <c r="G198" s="1">
        <v>21.760062999999999</v>
      </c>
      <c r="H198" s="1">
        <v>70.441222999999994</v>
      </c>
      <c r="I198" s="1">
        <v>62.600417999999998</v>
      </c>
      <c r="J198" s="1">
        <v>88.939751000000001</v>
      </c>
      <c r="K198" s="1">
        <v>21.605416999999999</v>
      </c>
      <c r="L198" s="1">
        <v>57.484378999999997</v>
      </c>
      <c r="M198" s="1">
        <v>11.102159</v>
      </c>
      <c r="N198" s="1">
        <v>38.540515999999997</v>
      </c>
      <c r="O198" s="1">
        <v>29.552325999999997</v>
      </c>
      <c r="P198" s="1">
        <v>22.637501</v>
      </c>
      <c r="Q198" s="1">
        <v>36.139499999999998</v>
      </c>
      <c r="R198" s="1">
        <v>46.828040999999999</v>
      </c>
      <c r="S198" s="1">
        <v>97.107085999999995</v>
      </c>
      <c r="V198" s="37">
        <v>42491</v>
      </c>
      <c r="W198">
        <f t="shared" si="59"/>
        <v>-0.28166356909290269</v>
      </c>
      <c r="X198">
        <f t="shared" si="60"/>
        <v>-0.10277208174226024</v>
      </c>
      <c r="Y198">
        <f t="shared" si="44"/>
        <v>-4.7954331595232935E-2</v>
      </c>
      <c r="Z198">
        <f t="shared" si="45"/>
        <v>-8.9757131466790527E-2</v>
      </c>
      <c r="AA198">
        <f t="shared" si="46"/>
        <v>7.6298176080227334E-3</v>
      </c>
      <c r="AB198">
        <f t="shared" si="47"/>
        <v>1.2044772113021853E-2</v>
      </c>
      <c r="AC198">
        <f t="shared" si="48"/>
        <v>-1.5189741949823771E-2</v>
      </c>
      <c r="AD198">
        <f t="shared" si="49"/>
        <v>4.4792656176832493E-2</v>
      </c>
      <c r="AE198">
        <f t="shared" si="50"/>
        <v>-1.2537498558996427E-2</v>
      </c>
      <c r="AF198">
        <f t="shared" si="51"/>
        <v>2.3784312980397498E-2</v>
      </c>
      <c r="AG198">
        <f t="shared" si="52"/>
        <v>-7.6034308381412591E-2</v>
      </c>
      <c r="AH198">
        <f t="shared" si="53"/>
        <v>8.2713641553849003E-4</v>
      </c>
      <c r="AI198">
        <f t="shared" si="54"/>
        <v>-5.9691209116141439E-2</v>
      </c>
      <c r="AJ198">
        <f t="shared" si="61"/>
        <v>-1.5366540014481437E-2</v>
      </c>
      <c r="AK198">
        <f t="shared" si="55"/>
        <v>-3.6831141387912013E-2</v>
      </c>
      <c r="AL198">
        <f t="shared" si="56"/>
        <v>-9.9199490861799824E-3</v>
      </c>
      <c r="AM198">
        <f t="shared" si="57"/>
        <v>-2.7775537311073954E-2</v>
      </c>
      <c r="AN198">
        <f t="shared" si="58"/>
        <v>-3.2213921031468509E-3</v>
      </c>
    </row>
    <row r="199" spans="1:40">
      <c r="A199" s="37">
        <v>42522</v>
      </c>
      <c r="B199" s="1">
        <v>5.6595909999999998</v>
      </c>
      <c r="C199" s="1">
        <v>10.754538999999999</v>
      </c>
      <c r="D199" s="1">
        <v>48.084842999999999</v>
      </c>
      <c r="E199" s="1">
        <v>31.737074</v>
      </c>
      <c r="F199" s="1">
        <v>43.159942999999998</v>
      </c>
      <c r="G199" s="1">
        <v>22.022157999999997</v>
      </c>
      <c r="H199" s="1">
        <v>69.371239000000003</v>
      </c>
      <c r="I199" s="1">
        <v>65.404456999999994</v>
      </c>
      <c r="J199" s="1">
        <v>87.824669</v>
      </c>
      <c r="K199" s="1">
        <v>22.119287</v>
      </c>
      <c r="L199" s="1">
        <v>53.113593999999999</v>
      </c>
      <c r="M199" s="1">
        <v>11.111341999999999</v>
      </c>
      <c r="N199" s="1">
        <v>36.239986000000002</v>
      </c>
      <c r="O199" s="1">
        <v>29.098208999999997</v>
      </c>
      <c r="P199" s="1">
        <v>21.803736000000001</v>
      </c>
      <c r="Q199" s="1">
        <v>35.780997999999997</v>
      </c>
      <c r="R199" s="1">
        <v>45.527366999999998</v>
      </c>
      <c r="S199" s="1">
        <v>96.794265999999993</v>
      </c>
      <c r="V199" s="37">
        <v>42522</v>
      </c>
      <c r="W199">
        <f t="shared" si="59"/>
        <v>8.4210678828205099E-2</v>
      </c>
      <c r="X199">
        <f t="shared" si="60"/>
        <v>9.5640454695454569E-2</v>
      </c>
      <c r="Y199">
        <f t="shared" si="44"/>
        <v>2.9449695822028533E-2</v>
      </c>
      <c r="Z199">
        <f t="shared" si="45"/>
        <v>3.3498456726035825E-2</v>
      </c>
      <c r="AA199">
        <f t="shared" si="46"/>
        <v>1.151595589456641E-2</v>
      </c>
      <c r="AB199">
        <f t="shared" si="47"/>
        <v>7.8313987212334082E-2</v>
      </c>
      <c r="AC199">
        <f t="shared" si="48"/>
        <v>-3.3897693538384246E-2</v>
      </c>
      <c r="AD199">
        <f t="shared" si="49"/>
        <v>1.0865666234336244E-2</v>
      </c>
      <c r="AE199">
        <f t="shared" si="50"/>
        <v>9.4227830223874737E-2</v>
      </c>
      <c r="AF199">
        <f t="shared" si="51"/>
        <v>4.7713924956080199E-2</v>
      </c>
      <c r="AG199">
        <f t="shared" si="52"/>
        <v>6.6235999770604834E-2</v>
      </c>
      <c r="AH199">
        <f t="shared" si="53"/>
        <v>7.2727398724654543E-2</v>
      </c>
      <c r="AI199">
        <f t="shared" si="54"/>
        <v>1.3522080278949151E-2</v>
      </c>
      <c r="AJ199">
        <f t="shared" si="61"/>
        <v>1.4907996571197939E-2</v>
      </c>
      <c r="AK199">
        <f t="shared" si="55"/>
        <v>9.0062776397586058E-2</v>
      </c>
      <c r="AL199">
        <f t="shared" si="56"/>
        <v>6.0353263483595439E-2</v>
      </c>
      <c r="AM199">
        <f t="shared" si="57"/>
        <v>0.10768046392843235</v>
      </c>
      <c r="AN199">
        <f t="shared" si="58"/>
        <v>5.8242520274909636E-2</v>
      </c>
    </row>
    <row r="200" spans="1:40">
      <c r="A200" s="37">
        <v>42552</v>
      </c>
      <c r="B200" s="1">
        <v>6.1361889999999999</v>
      </c>
      <c r="C200" s="1">
        <v>11.783107999999999</v>
      </c>
      <c r="D200" s="1">
        <v>49.500926999999997</v>
      </c>
      <c r="E200" s="1">
        <v>32.800216999999996</v>
      </c>
      <c r="F200" s="1">
        <v>43.656970999999999</v>
      </c>
      <c r="G200" s="1">
        <v>23.746800999999998</v>
      </c>
      <c r="H200" s="1">
        <v>67.019713999999993</v>
      </c>
      <c r="I200" s="1">
        <v>66.11511999999999</v>
      </c>
      <c r="J200" s="1">
        <v>96.100196999999994</v>
      </c>
      <c r="K200" s="1">
        <v>23.174685</v>
      </c>
      <c r="L200" s="1">
        <v>56.631625999999997</v>
      </c>
      <c r="M200" s="1">
        <v>11.919440999999999</v>
      </c>
      <c r="N200" s="1">
        <v>36.730025999999995</v>
      </c>
      <c r="O200" s="1">
        <v>29.532004999999998</v>
      </c>
      <c r="P200" s="1">
        <v>23.767440999999998</v>
      </c>
      <c r="Q200" s="1">
        <v>37.940497999999998</v>
      </c>
      <c r="R200" s="1">
        <v>50.429774999999999</v>
      </c>
      <c r="S200" s="1">
        <v>102.43180799999999</v>
      </c>
      <c r="V200" s="37">
        <v>42552</v>
      </c>
      <c r="W200">
        <f t="shared" si="59"/>
        <v>0.10558247146559531</v>
      </c>
      <c r="X200">
        <f t="shared" si="60"/>
        <v>0.1138717391031297</v>
      </c>
      <c r="Y200">
        <f t="shared" si="44"/>
        <v>6.3396146096415543E-2</v>
      </c>
      <c r="Z200">
        <f t="shared" si="45"/>
        <v>9.3656362090531409E-2</v>
      </c>
      <c r="AA200">
        <f t="shared" si="46"/>
        <v>4.4521549605445521E-2</v>
      </c>
      <c r="AB200">
        <f t="shared" si="47"/>
        <v>9.7681788801784446E-3</v>
      </c>
      <c r="AC200">
        <f t="shared" si="48"/>
        <v>8.8019936939748911E-2</v>
      </c>
      <c r="AD200">
        <f t="shared" si="49"/>
        <v>2.8089368967340714E-2</v>
      </c>
      <c r="AE200">
        <f t="shared" si="50"/>
        <v>1.6844492004527287E-2</v>
      </c>
      <c r="AF200">
        <f t="shared" si="51"/>
        <v>-5.6655009550291728E-2</v>
      </c>
      <c r="AG200">
        <f t="shared" si="52"/>
        <v>1.7374938166175854E-2</v>
      </c>
      <c r="AH200">
        <f t="shared" si="53"/>
        <v>1.7618275890626372E-4</v>
      </c>
      <c r="AI200">
        <f t="shared" si="54"/>
        <v>5.8995139290127431E-2</v>
      </c>
      <c r="AJ200">
        <f t="shared" si="61"/>
        <v>3.3826758460863124E-2</v>
      </c>
      <c r="AK200">
        <f t="shared" si="55"/>
        <v>1.8136744296535723E-2</v>
      </c>
      <c r="AL200">
        <f t="shared" si="56"/>
        <v>1.363983150669241E-2</v>
      </c>
      <c r="AM200">
        <f t="shared" si="57"/>
        <v>1.3761413767957479E-2</v>
      </c>
      <c r="AN200">
        <f t="shared" si="58"/>
        <v>-1.0833050999158293E-2</v>
      </c>
    </row>
    <row r="201" spans="1:40">
      <c r="A201" s="37">
        <v>42583</v>
      </c>
      <c r="B201" s="1">
        <v>6.7840629999999997</v>
      </c>
      <c r="C201" s="1">
        <v>13.124870999999999</v>
      </c>
      <c r="D201" s="1">
        <v>52.639094999999998</v>
      </c>
      <c r="E201" s="1">
        <v>35.872166</v>
      </c>
      <c r="F201" s="1">
        <v>45.600646999999995</v>
      </c>
      <c r="G201" s="1">
        <v>23.978763999999998</v>
      </c>
      <c r="H201" s="1">
        <v>72.918785</v>
      </c>
      <c r="I201" s="1">
        <v>67.972251999999997</v>
      </c>
      <c r="J201" s="1">
        <v>97.718955999999991</v>
      </c>
      <c r="K201" s="1">
        <v>21.861722999999998</v>
      </c>
      <c r="L201" s="1">
        <v>57.615596999999994</v>
      </c>
      <c r="M201" s="1">
        <v>11.921540999999999</v>
      </c>
      <c r="N201" s="1">
        <v>38.896918999999997</v>
      </c>
      <c r="O201" s="1">
        <v>30.530977</v>
      </c>
      <c r="P201" s="1">
        <v>24.198504999999997</v>
      </c>
      <c r="Q201" s="1">
        <v>38.457999999999998</v>
      </c>
      <c r="R201" s="1">
        <v>51.123759999999997</v>
      </c>
      <c r="S201" s="1">
        <v>101.322159</v>
      </c>
      <c r="V201" s="37">
        <v>42583</v>
      </c>
      <c r="W201">
        <f t="shared" si="59"/>
        <v>-4.0103695970983719E-2</v>
      </c>
      <c r="X201">
        <f t="shared" si="60"/>
        <v>-2.5846654035685333E-2</v>
      </c>
      <c r="Y201">
        <f t="shared" si="44"/>
        <v>-1.3481519771568983E-2</v>
      </c>
      <c r="Z201">
        <f t="shared" si="45"/>
        <v>-1.0682962383704371E-2</v>
      </c>
      <c r="AA201">
        <f t="shared" si="46"/>
        <v>-1.1010852543385923E-2</v>
      </c>
      <c r="AB201">
        <f t="shared" si="47"/>
        <v>2.4046443761655094E-2</v>
      </c>
      <c r="AC201">
        <f t="shared" si="48"/>
        <v>9.4617868358613227E-3</v>
      </c>
      <c r="AD201">
        <f t="shared" si="49"/>
        <v>2.7946536183618073E-2</v>
      </c>
      <c r="AE201">
        <f t="shared" si="50"/>
        <v>-1.5692247060027174E-3</v>
      </c>
      <c r="AF201">
        <f t="shared" si="51"/>
        <v>-1.8633846929631218E-2</v>
      </c>
      <c r="AG201">
        <f t="shared" si="52"/>
        <v>-2.3482512903580582E-2</v>
      </c>
      <c r="AH201">
        <f t="shared" si="53"/>
        <v>-7.6507139471315072E-2</v>
      </c>
      <c r="AI201">
        <f t="shared" si="54"/>
        <v>-0.12134688611198224</v>
      </c>
      <c r="AJ201">
        <f t="shared" si="61"/>
        <v>-4.4841997686481099E-3</v>
      </c>
      <c r="AK201">
        <f t="shared" si="55"/>
        <v>7.1276138753199936E-2</v>
      </c>
      <c r="AL201">
        <f t="shared" si="56"/>
        <v>8.8603177492329196E-2</v>
      </c>
      <c r="AM201">
        <f t="shared" si="57"/>
        <v>8.6841421679470215E-3</v>
      </c>
      <c r="AN201">
        <f t="shared" si="58"/>
        <v>8.4459116193921057E-3</v>
      </c>
    </row>
    <row r="202" spans="1:40">
      <c r="A202" s="37">
        <v>42614</v>
      </c>
      <c r="B202" s="1">
        <v>6.511997</v>
      </c>
      <c r="C202" s="1">
        <v>12.785636999999999</v>
      </c>
      <c r="D202" s="1">
        <v>51.92944</v>
      </c>
      <c r="E202" s="1">
        <v>35.488945000000001</v>
      </c>
      <c r="F202" s="1">
        <v>45.098545000000001</v>
      </c>
      <c r="G202" s="1">
        <v>24.555367999999998</v>
      </c>
      <c r="H202" s="1">
        <v>73.608727000000002</v>
      </c>
      <c r="I202" s="1">
        <v>69.871841000000003</v>
      </c>
      <c r="J202" s="1">
        <v>97.565612999999999</v>
      </c>
      <c r="K202" s="1">
        <v>21.454355</v>
      </c>
      <c r="L202" s="1">
        <v>56.262637999999995</v>
      </c>
      <c r="M202" s="1">
        <v>11.009457999999999</v>
      </c>
      <c r="N202" s="1">
        <v>34.176898999999999</v>
      </c>
      <c r="O202" s="1">
        <v>30.394069999999999</v>
      </c>
      <c r="P202" s="1">
        <v>25.923280999999999</v>
      </c>
      <c r="Q202" s="1">
        <v>41.865500999999995</v>
      </c>
      <c r="R202" s="1">
        <v>51.567726</v>
      </c>
      <c r="S202" s="1">
        <v>102.17791699999999</v>
      </c>
      <c r="V202" s="37">
        <v>42614</v>
      </c>
      <c r="W202">
        <f t="shared" si="59"/>
        <v>6.0989585836725674E-2</v>
      </c>
      <c r="X202">
        <f t="shared" si="60"/>
        <v>5.4313289200999572E-2</v>
      </c>
      <c r="Y202">
        <f t="shared" si="44"/>
        <v>4.0096022602978169E-2</v>
      </c>
      <c r="Z202">
        <f t="shared" si="45"/>
        <v>4.0652067848170673E-2</v>
      </c>
      <c r="AA202">
        <f t="shared" si="46"/>
        <v>-3.0044117831296003E-2</v>
      </c>
      <c r="AB202">
        <f t="shared" si="47"/>
        <v>-4.5598583576511023E-3</v>
      </c>
      <c r="AC202">
        <f t="shared" si="48"/>
        <v>4.2092155730393169E-2</v>
      </c>
      <c r="AD202">
        <f t="shared" si="49"/>
        <v>-3.2869292795648555E-2</v>
      </c>
      <c r="AE202">
        <f t="shared" si="50"/>
        <v>-7.4321164773494611E-2</v>
      </c>
      <c r="AF202">
        <f t="shared" si="51"/>
        <v>-6.3773159342240759E-2</v>
      </c>
      <c r="AG202">
        <f t="shared" si="52"/>
        <v>3.7163827974081166E-2</v>
      </c>
      <c r="AH202">
        <f t="shared" si="53"/>
        <v>-8.7866087504035087E-2</v>
      </c>
      <c r="AI202">
        <f t="shared" si="54"/>
        <v>3.9069928491757056E-2</v>
      </c>
      <c r="AJ202">
        <f t="shared" si="61"/>
        <v>2.2072364773786456E-2</v>
      </c>
      <c r="AK202">
        <f t="shared" si="55"/>
        <v>4.3344050469537772E-3</v>
      </c>
      <c r="AL202">
        <f t="shared" si="56"/>
        <v>-5.671734347571758E-2</v>
      </c>
      <c r="AM202">
        <f t="shared" si="57"/>
        <v>4.0277866819258129E-2</v>
      </c>
      <c r="AN202">
        <f t="shared" si="58"/>
        <v>-3.2483378967296854E-2</v>
      </c>
    </row>
    <row r="203" spans="1:40">
      <c r="A203" s="37">
        <v>42644</v>
      </c>
      <c r="B203" s="1">
        <v>6.9091610000000001</v>
      </c>
      <c r="C203" s="1">
        <v>13.480067</v>
      </c>
      <c r="D203" s="1">
        <v>54.011603999999998</v>
      </c>
      <c r="E203" s="1">
        <v>36.931643999999999</v>
      </c>
      <c r="F203" s="1">
        <v>43.743598999999996</v>
      </c>
      <c r="G203" s="1">
        <v>24.443398999999999</v>
      </c>
      <c r="H203" s="1">
        <v>76.707076999999998</v>
      </c>
      <c r="I203" s="1">
        <v>67.575203000000002</v>
      </c>
      <c r="J203" s="1">
        <v>90.314422999999991</v>
      </c>
      <c r="K203" s="1">
        <v>20.086143</v>
      </c>
      <c r="L203" s="1">
        <v>58.353572999999997</v>
      </c>
      <c r="M203" s="1">
        <v>10.0421</v>
      </c>
      <c r="N203" s="1">
        <v>35.512188000000002</v>
      </c>
      <c r="O203" s="1">
        <v>31.064938999999999</v>
      </c>
      <c r="P203" s="1">
        <v>26.035643</v>
      </c>
      <c r="Q203" s="1">
        <v>39.491000999999997</v>
      </c>
      <c r="R203" s="1">
        <v>53.644763999999995</v>
      </c>
      <c r="S203" s="1">
        <v>98.85883299999999</v>
      </c>
      <c r="V203" s="37">
        <v>42644</v>
      </c>
      <c r="W203">
        <f t="shared" si="59"/>
        <v>0.165943737597083</v>
      </c>
      <c r="X203">
        <f t="shared" si="60"/>
        <v>0.27999972106963561</v>
      </c>
      <c r="Y203">
        <f t="shared" si="44"/>
        <v>0.16593687904547325</v>
      </c>
      <c r="Z203">
        <f t="shared" si="45"/>
        <v>0.14730408426984729</v>
      </c>
      <c r="AA203">
        <f t="shared" si="46"/>
        <v>4.5870802720187731E-2</v>
      </c>
      <c r="AB203">
        <f t="shared" si="47"/>
        <v>0.1564815924331964</v>
      </c>
      <c r="AC203">
        <f t="shared" si="48"/>
        <v>0.13476763037131506</v>
      </c>
      <c r="AD203">
        <f t="shared" si="49"/>
        <v>-4.2664984669006638E-2</v>
      </c>
      <c r="AE203">
        <f t="shared" si="50"/>
        <v>4.2076778810843971E-2</v>
      </c>
      <c r="AF203">
        <f t="shared" si="51"/>
        <v>1.356039335177479E-2</v>
      </c>
      <c r="AG203">
        <f t="shared" si="52"/>
        <v>9.0071416877934796E-2</v>
      </c>
      <c r="AH203">
        <f t="shared" si="53"/>
        <v>0.19666613556925339</v>
      </c>
      <c r="AI203">
        <f t="shared" si="54"/>
        <v>0.15018455072382453</v>
      </c>
      <c r="AJ203">
        <f t="shared" si="61"/>
        <v>5.4222800823784029E-2</v>
      </c>
      <c r="AK203">
        <f t="shared" si="55"/>
        <v>-2.6598651702206922E-2</v>
      </c>
      <c r="AL203">
        <f t="shared" si="56"/>
        <v>-4.9694891248768198E-2</v>
      </c>
      <c r="AM203">
        <f t="shared" si="57"/>
        <v>5.6742536885799714E-3</v>
      </c>
      <c r="AN203">
        <f t="shared" si="58"/>
        <v>5.5501454280772348E-2</v>
      </c>
    </row>
    <row r="204" spans="1:40">
      <c r="A204" s="37">
        <v>42675</v>
      </c>
      <c r="B204" s="1">
        <v>8.0556929999999998</v>
      </c>
      <c r="C204" s="1">
        <v>17.254481999999999</v>
      </c>
      <c r="D204" s="1">
        <v>62.974120999999997</v>
      </c>
      <c r="E204" s="1">
        <v>42.371825999999999</v>
      </c>
      <c r="F204" s="1">
        <v>45.750152999999997</v>
      </c>
      <c r="G204" s="1">
        <v>28.268340999999999</v>
      </c>
      <c r="H204" s="1">
        <v>87.044708</v>
      </c>
      <c r="I204" s="1">
        <v>64.69210799999999</v>
      </c>
      <c r="J204" s="1">
        <v>94.11456299999999</v>
      </c>
      <c r="K204" s="1">
        <v>20.358518999999998</v>
      </c>
      <c r="L204" s="1">
        <v>63.609561999999997</v>
      </c>
      <c r="M204" s="1">
        <v>12.017040999999999</v>
      </c>
      <c r="N204" s="1">
        <v>40.845569999999995</v>
      </c>
      <c r="O204" s="1">
        <v>32.749366999999999</v>
      </c>
      <c r="P204" s="1">
        <v>25.343129999999999</v>
      </c>
      <c r="Q204" s="1">
        <v>37.528500000000001</v>
      </c>
      <c r="R204" s="1">
        <v>53.949157999999997</v>
      </c>
      <c r="S204" s="1">
        <v>104.345642</v>
      </c>
      <c r="V204" s="37">
        <v>42675</v>
      </c>
      <c r="W204">
        <f t="shared" si="59"/>
        <v>2.3255727347107194E-2</v>
      </c>
      <c r="X204">
        <f t="shared" si="60"/>
        <v>5.0283920432963349E-2</v>
      </c>
      <c r="Y204">
        <f t="shared" si="44"/>
        <v>7.6337659401391339E-2</v>
      </c>
      <c r="Z204">
        <f t="shared" si="45"/>
        <v>5.7395803522840821E-2</v>
      </c>
      <c r="AA204">
        <f t="shared" si="46"/>
        <v>9.2013091191192248E-2</v>
      </c>
      <c r="AB204">
        <f t="shared" si="47"/>
        <v>-0.15142200951941259</v>
      </c>
      <c r="AC204">
        <f t="shared" si="48"/>
        <v>2.8343630034349698E-2</v>
      </c>
      <c r="AD204">
        <f t="shared" si="49"/>
        <v>1.9645549345833808E-2</v>
      </c>
      <c r="AE204">
        <f t="shared" si="50"/>
        <v>-2.8514439364713356E-2</v>
      </c>
      <c r="AF204">
        <f t="shared" si="51"/>
        <v>2.0657691259369206E-2</v>
      </c>
      <c r="AG204">
        <f t="shared" si="52"/>
        <v>2.8317535027202332E-2</v>
      </c>
      <c r="AH204">
        <f t="shared" si="53"/>
        <v>2.3076978767069201E-2</v>
      </c>
      <c r="AI204">
        <f t="shared" si="54"/>
        <v>5.0059578064402192E-2</v>
      </c>
      <c r="AJ204">
        <f t="shared" si="61"/>
        <v>4.1147696076079848E-2</v>
      </c>
      <c r="AK204">
        <f t="shared" si="55"/>
        <v>5.3335637705366305E-2</v>
      </c>
      <c r="AL204">
        <f t="shared" si="56"/>
        <v>-9.3262453868403201E-4</v>
      </c>
      <c r="AM204">
        <f t="shared" si="57"/>
        <v>3.8164469591907203E-2</v>
      </c>
      <c r="AN204">
        <f t="shared" si="58"/>
        <v>3.2522757395081245E-2</v>
      </c>
    </row>
    <row r="205" spans="1:40">
      <c r="A205" s="37">
        <v>42705</v>
      </c>
      <c r="B205" s="1">
        <v>8.2430339999999998</v>
      </c>
      <c r="C205" s="1">
        <v>18.122104999999998</v>
      </c>
      <c r="D205" s="1">
        <v>67.781418000000002</v>
      </c>
      <c r="E205" s="1">
        <v>44.803790999999997</v>
      </c>
      <c r="F205" s="1">
        <v>49.959765999999995</v>
      </c>
      <c r="G205" s="1">
        <v>23.987891999999999</v>
      </c>
      <c r="H205" s="1">
        <v>89.511870999999999</v>
      </c>
      <c r="I205" s="1">
        <v>65.96302</v>
      </c>
      <c r="J205" s="1">
        <v>91.430938999999995</v>
      </c>
      <c r="K205" s="1">
        <v>20.779078999999999</v>
      </c>
      <c r="L205" s="1">
        <v>65.410827999999995</v>
      </c>
      <c r="M205" s="1">
        <v>12.294357999999999</v>
      </c>
      <c r="N205" s="1">
        <v>42.890281999999999</v>
      </c>
      <c r="O205" s="1">
        <v>34.096927999999998</v>
      </c>
      <c r="P205" s="1">
        <v>26.694821999999998</v>
      </c>
      <c r="Q205" s="1">
        <v>37.493499999999997</v>
      </c>
      <c r="R205" s="1">
        <v>56.008098999999994</v>
      </c>
      <c r="S205" s="1">
        <v>107.73925</v>
      </c>
      <c r="V205" s="37">
        <v>42705</v>
      </c>
      <c r="W205">
        <f t="shared" si="59"/>
        <v>6.3635549725986991E-3</v>
      </c>
      <c r="X205">
        <f t="shared" si="60"/>
        <v>2.4434468291625201E-2</v>
      </c>
      <c r="Y205">
        <f t="shared" si="44"/>
        <v>-1.9237543835391661E-2</v>
      </c>
      <c r="Z205">
        <f t="shared" si="45"/>
        <v>-6.057516427571942E-2</v>
      </c>
      <c r="AA205">
        <f t="shared" si="46"/>
        <v>5.1585089489810686E-2</v>
      </c>
      <c r="AB205">
        <f t="shared" si="47"/>
        <v>-0.16731149198103773</v>
      </c>
      <c r="AC205">
        <f t="shared" si="48"/>
        <v>4.4950864673580518E-2</v>
      </c>
      <c r="AD205">
        <f t="shared" si="49"/>
        <v>4.1865032862352276E-2</v>
      </c>
      <c r="AE205">
        <f t="shared" si="50"/>
        <v>8.1175235441910909E-2</v>
      </c>
      <c r="AF205">
        <f t="shared" si="51"/>
        <v>-2.3091110053530237E-2</v>
      </c>
      <c r="AG205">
        <f t="shared" si="52"/>
        <v>3.1047428416591867E-2</v>
      </c>
      <c r="AH205">
        <f t="shared" si="53"/>
        <v>1.5037792131968153E-2</v>
      </c>
      <c r="AI205">
        <f t="shared" si="54"/>
        <v>2.2137369019863268E-2</v>
      </c>
      <c r="AJ205">
        <f t="shared" si="61"/>
        <v>4.9250272634531717E-2</v>
      </c>
      <c r="AK205">
        <f t="shared" si="55"/>
        <v>4.774648806423961E-2</v>
      </c>
      <c r="AL205">
        <f t="shared" si="56"/>
        <v>9.8163681704828906E-2</v>
      </c>
      <c r="AM205">
        <f t="shared" si="57"/>
        <v>4.0392676066366817E-2</v>
      </c>
      <c r="AN205">
        <f t="shared" si="58"/>
        <v>5.1388300920973518E-2</v>
      </c>
    </row>
    <row r="206" spans="1:40">
      <c r="A206" s="37">
        <v>42736</v>
      </c>
      <c r="B206" s="1">
        <v>8.2954889999999999</v>
      </c>
      <c r="C206" s="1">
        <v>18.564909</v>
      </c>
      <c r="D206" s="1">
        <v>66.477469999999997</v>
      </c>
      <c r="E206" s="1">
        <v>42.089793999999998</v>
      </c>
      <c r="F206" s="1">
        <v>52.536944999999996</v>
      </c>
      <c r="G206" s="1">
        <v>19.974442</v>
      </c>
      <c r="H206" s="1">
        <v>93.535506999999996</v>
      </c>
      <c r="I206" s="1">
        <v>68.724564000000001</v>
      </c>
      <c r="J206" s="1">
        <v>98.852866999999989</v>
      </c>
      <c r="K206" s="1">
        <v>20.299267</v>
      </c>
      <c r="L206" s="1">
        <v>67.441665999999998</v>
      </c>
      <c r="M206" s="1">
        <v>12.479237999999999</v>
      </c>
      <c r="N206" s="1">
        <v>43.839759999999998</v>
      </c>
      <c r="O206" s="1">
        <v>35.776210999999996</v>
      </c>
      <c r="P206" s="1">
        <v>27.969405999999999</v>
      </c>
      <c r="Q206" s="1">
        <v>41.173999999999999</v>
      </c>
      <c r="R206" s="1">
        <v>58.270415999999997</v>
      </c>
      <c r="S206" s="1">
        <v>113.27578699999999</v>
      </c>
      <c r="V206" s="37">
        <v>42736</v>
      </c>
      <c r="W206">
        <f t="shared" si="59"/>
        <v>1.0840108401083999E-2</v>
      </c>
      <c r="X206">
        <f t="shared" si="60"/>
        <v>9.0105801218847759E-2</v>
      </c>
      <c r="Y206">
        <f t="shared" si="44"/>
        <v>7.6703701269016447E-2</v>
      </c>
      <c r="Z206">
        <f t="shared" si="45"/>
        <v>7.1287614284831158E-2</v>
      </c>
      <c r="AA206">
        <f t="shared" si="46"/>
        <v>8.795810262663753E-3</v>
      </c>
      <c r="AB206">
        <f t="shared" si="47"/>
        <v>0.12457734739223252</v>
      </c>
      <c r="AC206">
        <f t="shared" si="48"/>
        <v>2.2793194460366824E-2</v>
      </c>
      <c r="AD206">
        <f t="shared" si="49"/>
        <v>4.7850954718315762E-2</v>
      </c>
      <c r="AE206">
        <f t="shared" si="50"/>
        <v>2.5403329981314639E-2</v>
      </c>
      <c r="AF206">
        <f t="shared" si="51"/>
        <v>7.5323064621003286E-2</v>
      </c>
      <c r="AG206">
        <f t="shared" si="52"/>
        <v>5.2650686298289208E-2</v>
      </c>
      <c r="AH206">
        <f t="shared" si="53"/>
        <v>6.9836235193206558E-2</v>
      </c>
      <c r="AI206">
        <f t="shared" si="54"/>
        <v>2.7516437133779909E-2</v>
      </c>
      <c r="AJ206">
        <f t="shared" si="61"/>
        <v>4.8775148380023926E-3</v>
      </c>
      <c r="AK206">
        <f t="shared" si="55"/>
        <v>0.12888318042935917</v>
      </c>
      <c r="AL206">
        <f t="shared" si="56"/>
        <v>2.61815466070821E-2</v>
      </c>
      <c r="AM206">
        <f t="shared" si="57"/>
        <v>-1.0363492170709717E-2</v>
      </c>
      <c r="AN206">
        <f t="shared" si="58"/>
        <v>3.0369667614845244E-2</v>
      </c>
    </row>
    <row r="207" spans="1:40">
      <c r="A207" s="37">
        <v>42767</v>
      </c>
      <c r="B207" s="1">
        <v>8.3854129999999998</v>
      </c>
      <c r="C207" s="1">
        <v>20.237714999999998</v>
      </c>
      <c r="D207" s="1">
        <v>71.576537999999999</v>
      </c>
      <c r="E207" s="1">
        <v>45.090274999999998</v>
      </c>
      <c r="F207" s="1">
        <v>52.999049999999997</v>
      </c>
      <c r="G207" s="1">
        <v>22.462804999999999</v>
      </c>
      <c r="H207" s="1">
        <v>95.667479999999998</v>
      </c>
      <c r="I207" s="1">
        <v>72.013099999999994</v>
      </c>
      <c r="J207" s="1">
        <v>101.364059</v>
      </c>
      <c r="K207" s="1">
        <v>21.82827</v>
      </c>
      <c r="L207" s="1">
        <v>70.992515999999995</v>
      </c>
      <c r="M207" s="1">
        <v>13.350740999999999</v>
      </c>
      <c r="N207" s="1">
        <v>45.046073999999997</v>
      </c>
      <c r="O207" s="1">
        <v>35.950710000000001</v>
      </c>
      <c r="P207" s="1">
        <v>31.574192</v>
      </c>
      <c r="Q207" s="1">
        <v>42.251998999999998</v>
      </c>
      <c r="R207" s="1">
        <v>57.666530999999999</v>
      </c>
      <c r="S207" s="1">
        <v>116.715935</v>
      </c>
      <c r="V207" s="37">
        <v>42767</v>
      </c>
      <c r="W207">
        <f t="shared" si="59"/>
        <v>4.4682354941850211E-3</v>
      </c>
      <c r="X207">
        <f t="shared" si="60"/>
        <v>-4.4165509791989736E-2</v>
      </c>
      <c r="Y207">
        <f t="shared" si="44"/>
        <v>-3.0677342902502552E-2</v>
      </c>
      <c r="Z207">
        <f t="shared" si="45"/>
        <v>3.0304095506182194E-3</v>
      </c>
      <c r="AA207">
        <f t="shared" si="46"/>
        <v>-1.1106444360795137E-2</v>
      </c>
      <c r="AB207">
        <f t="shared" si="47"/>
        <v>-0.10776659459938338</v>
      </c>
      <c r="AC207">
        <f t="shared" si="48"/>
        <v>-5.7539719871370614E-3</v>
      </c>
      <c r="AD207">
        <f t="shared" si="49"/>
        <v>-1.3395951569922574E-2</v>
      </c>
      <c r="AE207">
        <f t="shared" si="50"/>
        <v>4.9751588972971092E-2</v>
      </c>
      <c r="AF207">
        <f t="shared" si="51"/>
        <v>1.285241569762503E-2</v>
      </c>
      <c r="AG207">
        <f t="shared" si="52"/>
        <v>-1.1865828223357982E-2</v>
      </c>
      <c r="AH207">
        <f t="shared" si="53"/>
        <v>0</v>
      </c>
      <c r="AI207">
        <f t="shared" si="54"/>
        <v>-3.1823794455428038E-2</v>
      </c>
      <c r="AJ207">
        <f t="shared" si="61"/>
        <v>-2.9263928306283795E-2</v>
      </c>
      <c r="AK207">
        <f t="shared" si="55"/>
        <v>5.3236548381032048E-2</v>
      </c>
      <c r="AL207">
        <f t="shared" si="56"/>
        <v>4.9110126126813564E-2</v>
      </c>
      <c r="AM207">
        <f t="shared" si="57"/>
        <v>3.5624945082963273E-2</v>
      </c>
      <c r="AN207">
        <f t="shared" si="58"/>
        <v>-2.3930417042026083E-2</v>
      </c>
    </row>
    <row r="208" spans="1:40">
      <c r="A208" s="37">
        <v>42795</v>
      </c>
      <c r="B208" s="1">
        <v>8.4228810000000003</v>
      </c>
      <c r="C208" s="1">
        <v>19.343906</v>
      </c>
      <c r="D208" s="1">
        <v>69.380759999999995</v>
      </c>
      <c r="E208" s="1">
        <v>45.226917</v>
      </c>
      <c r="F208" s="1">
        <v>52.410418999999997</v>
      </c>
      <c r="G208" s="1">
        <v>20.042064999999997</v>
      </c>
      <c r="H208" s="1">
        <v>95.117012000000003</v>
      </c>
      <c r="I208" s="1">
        <v>71.048416000000003</v>
      </c>
      <c r="J208" s="1">
        <v>106.40708199999999</v>
      </c>
      <c r="K208" s="1">
        <v>22.108815999999997</v>
      </c>
      <c r="L208" s="1">
        <v>70.150131000000002</v>
      </c>
      <c r="M208" s="1">
        <v>13.350740999999999</v>
      </c>
      <c r="N208" s="1">
        <v>43.612536999999996</v>
      </c>
      <c r="O208" s="1">
        <v>34.898651000000001</v>
      </c>
      <c r="P208" s="1">
        <v>33.255092999999995</v>
      </c>
      <c r="Q208" s="1">
        <v>44.326999999999998</v>
      </c>
      <c r="R208" s="1">
        <v>59.720897999999998</v>
      </c>
      <c r="S208" s="1">
        <v>113.92287399999999</v>
      </c>
      <c r="V208" s="37">
        <v>42795</v>
      </c>
      <c r="W208">
        <f t="shared" si="59"/>
        <v>-2.9583820547862433E-2</v>
      </c>
      <c r="X208">
        <f t="shared" si="60"/>
        <v>-7.5816642202458824E-3</v>
      </c>
      <c r="Y208">
        <f t="shared" si="44"/>
        <v>-9.5629105244739599E-3</v>
      </c>
      <c r="Z208">
        <f t="shared" si="45"/>
        <v>-1.1701858873113195E-2</v>
      </c>
      <c r="AA208">
        <f t="shared" si="46"/>
        <v>-5.2681032754193398E-2</v>
      </c>
      <c r="AB208">
        <f t="shared" si="47"/>
        <v>-2.2842955553731168E-3</v>
      </c>
      <c r="AC208">
        <f t="shared" si="48"/>
        <v>3.0972293368508985E-2</v>
      </c>
      <c r="AD208">
        <f t="shared" si="49"/>
        <v>-2.8046944776362187E-2</v>
      </c>
      <c r="AE208">
        <f t="shared" si="50"/>
        <v>2.4685828712040135E-2</v>
      </c>
      <c r="AF208">
        <f t="shared" si="51"/>
        <v>-8.4767994812566336E-3</v>
      </c>
      <c r="AG208">
        <f t="shared" si="52"/>
        <v>1.7693908511731407E-3</v>
      </c>
      <c r="AH208">
        <f t="shared" si="53"/>
        <v>3.4723915324251071E-3</v>
      </c>
      <c r="AI208">
        <f t="shared" si="54"/>
        <v>-3.2699083751995331E-2</v>
      </c>
      <c r="AJ208">
        <f t="shared" si="61"/>
        <v>-5.9891971182496534E-2</v>
      </c>
      <c r="AK208">
        <f t="shared" si="55"/>
        <v>-6.9643467843957731E-5</v>
      </c>
      <c r="AL208">
        <f t="shared" si="56"/>
        <v>4.3370857490919741E-2</v>
      </c>
      <c r="AM208">
        <f t="shared" si="57"/>
        <v>3.9477688362957904E-2</v>
      </c>
      <c r="AN208">
        <f t="shared" si="58"/>
        <v>-7.9533553551326241E-2</v>
      </c>
    </row>
    <row r="209" spans="1:40">
      <c r="A209" s="37">
        <v>42826</v>
      </c>
      <c r="B209" s="1">
        <v>8.1737000000000002</v>
      </c>
      <c r="C209" s="1">
        <v>19.197247000000001</v>
      </c>
      <c r="D209" s="1">
        <v>68.717277999999993</v>
      </c>
      <c r="E209" s="1">
        <v>44.697677999999996</v>
      </c>
      <c r="F209" s="1">
        <v>49.649383999999998</v>
      </c>
      <c r="G209" s="1">
        <v>19.996282999999998</v>
      </c>
      <c r="H209" s="1">
        <v>98.063003999999992</v>
      </c>
      <c r="I209" s="1">
        <v>69.055724999999995</v>
      </c>
      <c r="J209" s="1">
        <v>109.033829</v>
      </c>
      <c r="K209" s="1">
        <v>21.921403999999999</v>
      </c>
      <c r="L209" s="1">
        <v>70.274253999999999</v>
      </c>
      <c r="M209" s="1">
        <v>13.3971</v>
      </c>
      <c r="N209" s="1">
        <v>42.186447000000001</v>
      </c>
      <c r="O209" s="1">
        <v>32.808501999999997</v>
      </c>
      <c r="P209" s="1">
        <v>33.252777000000002</v>
      </c>
      <c r="Q209" s="1">
        <v>46.249499999999998</v>
      </c>
      <c r="R209" s="1">
        <v>62.078540999999994</v>
      </c>
      <c r="S209" s="1">
        <v>104.862183</v>
      </c>
      <c r="V209" s="37">
        <v>42826</v>
      </c>
      <c r="W209">
        <f t="shared" si="59"/>
        <v>-3.7001602701346656E-3</v>
      </c>
      <c r="X209">
        <f t="shared" si="60"/>
        <v>-3.9845973748215184E-2</v>
      </c>
      <c r="Y209">
        <f t="shared" si="44"/>
        <v>-5.0322031090928865E-2</v>
      </c>
      <c r="Z209">
        <f t="shared" si="45"/>
        <v>2.6752642497447045E-2</v>
      </c>
      <c r="AA209">
        <f t="shared" si="46"/>
        <v>-4.3936960023512106E-2</v>
      </c>
      <c r="AB209">
        <f t="shared" si="47"/>
        <v>-0.19575613127699779</v>
      </c>
      <c r="AC209">
        <f t="shared" si="48"/>
        <v>9.7213369070358061E-2</v>
      </c>
      <c r="AD209">
        <f t="shared" si="49"/>
        <v>1.6426748108140179E-2</v>
      </c>
      <c r="AE209">
        <f t="shared" si="50"/>
        <v>1.0943521024103424E-2</v>
      </c>
      <c r="AF209">
        <f t="shared" si="51"/>
        <v>-3.7441260605388306E-2</v>
      </c>
      <c r="AG209">
        <f t="shared" si="52"/>
        <v>-2.516234466181597E-2</v>
      </c>
      <c r="AH209">
        <f t="shared" si="53"/>
        <v>0.22138537444670867</v>
      </c>
      <c r="AI209">
        <f t="shared" si="54"/>
        <v>-5.0148285775287176E-2</v>
      </c>
      <c r="AJ209">
        <f t="shared" si="61"/>
        <v>2.2128715294590481E-2</v>
      </c>
      <c r="AK209">
        <f t="shared" si="55"/>
        <v>6.3417801165899595E-2</v>
      </c>
      <c r="AL209">
        <f t="shared" si="56"/>
        <v>7.5276467853706522E-2</v>
      </c>
      <c r="AM209">
        <f t="shared" si="57"/>
        <v>2.0157722456782618E-2</v>
      </c>
      <c r="AN209">
        <f t="shared" si="58"/>
        <v>-4.7788514950141851E-2</v>
      </c>
    </row>
    <row r="210" spans="1:40">
      <c r="A210" s="37">
        <v>42856</v>
      </c>
      <c r="B210" s="1">
        <v>8.1434560000000005</v>
      </c>
      <c r="C210" s="1">
        <v>18.432313999999998</v>
      </c>
      <c r="D210" s="1">
        <v>65.259284999999991</v>
      </c>
      <c r="E210" s="1">
        <v>45.893459</v>
      </c>
      <c r="F210" s="1">
        <v>47.467940999999996</v>
      </c>
      <c r="G210" s="1">
        <v>16.081887999999999</v>
      </c>
      <c r="H210" s="1">
        <v>107.59603899999999</v>
      </c>
      <c r="I210" s="1">
        <v>70.190085999999994</v>
      </c>
      <c r="J210" s="1">
        <v>110.22704299999999</v>
      </c>
      <c r="K210" s="1">
        <v>21.100638999999997</v>
      </c>
      <c r="L210" s="1">
        <v>68.505989</v>
      </c>
      <c r="M210" s="1">
        <v>16.363022000000001</v>
      </c>
      <c r="N210" s="1">
        <v>40.070868999999995</v>
      </c>
      <c r="O210" s="1">
        <v>33.534511999999999</v>
      </c>
      <c r="P210" s="1">
        <v>35.361595000000001</v>
      </c>
      <c r="Q210" s="1">
        <v>49.730998999999997</v>
      </c>
      <c r="R210" s="1">
        <v>63.329902999999995</v>
      </c>
      <c r="S210" s="1">
        <v>99.850974999999991</v>
      </c>
      <c r="V210" s="37">
        <v>42856</v>
      </c>
      <c r="W210">
        <f t="shared" si="59"/>
        <v>-1.6713174357422735E-2</v>
      </c>
      <c r="X210">
        <f t="shared" si="60"/>
        <v>8.6108179363697912E-2</v>
      </c>
      <c r="Y210">
        <f t="shared" ref="Y210:Y273" si="62">(D211-D210)/D210</f>
        <v>0.11259933356609715</v>
      </c>
      <c r="Z210">
        <f t="shared" ref="Z210:Z273" si="63">(E211-E210)/E210</f>
        <v>0.10472387797136835</v>
      </c>
      <c r="AA210">
        <f t="shared" ref="AA210:AA273" si="64">(F211-F210)/F210</f>
        <v>9.3833815121662903E-2</v>
      </c>
      <c r="AB210">
        <f t="shared" ref="AB210:AB273" si="65">(G211-G210)/G210</f>
        <v>-1.1063812905549423E-2</v>
      </c>
      <c r="AC210">
        <f t="shared" ref="AC210:AC273" si="66">(H211-H210)/H210</f>
        <v>9.2274400547404101E-3</v>
      </c>
      <c r="AD210">
        <f t="shared" ref="AD210:AD273" si="67">(I211-I210)/I210</f>
        <v>-1.0670922956270474E-2</v>
      </c>
      <c r="AE210">
        <f t="shared" ref="AE210:AE273" si="68">(J211-J210)/J210</f>
        <v>2.2449835654214236E-2</v>
      </c>
      <c r="AF210">
        <f t="shared" ref="AF210:AF273" si="69">(K211-K210)/K210</f>
        <v>3.8748115637635527E-2</v>
      </c>
      <c r="AG210">
        <f t="shared" ref="AG210:AG273" si="70">(L211-L210)/L210</f>
        <v>9.487942725708258E-2</v>
      </c>
      <c r="AH210">
        <f t="shared" ref="AH210:AH273" si="71">(M211-M210)/M210</f>
        <v>5.6823855642312406E-3</v>
      </c>
      <c r="AI210">
        <f t="shared" ref="AI210:AI273" si="72">(N211-N210)/N210</f>
        <v>9.1098573380078193E-2</v>
      </c>
      <c r="AJ210">
        <f t="shared" si="61"/>
        <v>5.6184416818112523E-2</v>
      </c>
      <c r="AK210">
        <f t="shared" si="55"/>
        <v>-5.3322340239460482E-2</v>
      </c>
      <c r="AL210">
        <f t="shared" si="56"/>
        <v>-2.676393048126776E-2</v>
      </c>
      <c r="AM210">
        <f t="shared" si="57"/>
        <v>-7.3722045650377963E-3</v>
      </c>
      <c r="AN210">
        <f t="shared" si="58"/>
        <v>1.7707889181853315E-2</v>
      </c>
    </row>
    <row r="211" spans="1:40">
      <c r="A211" s="37">
        <v>42887</v>
      </c>
      <c r="B211" s="1">
        <v>8.0073530000000002</v>
      </c>
      <c r="C211" s="1">
        <v>20.019486999999998</v>
      </c>
      <c r="D211" s="1">
        <v>72.60743699999999</v>
      </c>
      <c r="E211" s="1">
        <v>50.699599999999997</v>
      </c>
      <c r="F211" s="1">
        <v>51.922038999999998</v>
      </c>
      <c r="G211" s="1">
        <v>15.903960999999999</v>
      </c>
      <c r="H211" s="1">
        <v>108.588875</v>
      </c>
      <c r="I211" s="1">
        <v>69.441092999999995</v>
      </c>
      <c r="J211" s="1">
        <v>112.701622</v>
      </c>
      <c r="K211" s="1">
        <v>21.918248999999999</v>
      </c>
      <c r="L211" s="1">
        <v>75.005797999999999</v>
      </c>
      <c r="M211" s="1">
        <v>16.456002999999999</v>
      </c>
      <c r="N211" s="1">
        <v>43.721267999999995</v>
      </c>
      <c r="O211" s="1">
        <v>35.418628999999996</v>
      </c>
      <c r="P211" s="1">
        <v>33.476031999999996</v>
      </c>
      <c r="Q211" s="1">
        <v>48.400002000000001</v>
      </c>
      <c r="R211" s="1">
        <v>62.863021999999994</v>
      </c>
      <c r="S211" s="1">
        <v>101.619125</v>
      </c>
      <c r="V211" s="37">
        <v>42887</v>
      </c>
      <c r="W211">
        <f t="shared" si="59"/>
        <v>1.3219724420791744E-2</v>
      </c>
      <c r="X211">
        <f t="shared" si="60"/>
        <v>-5.7707772431929774E-3</v>
      </c>
      <c r="Y211">
        <f t="shared" si="62"/>
        <v>4.3765764655761792E-3</v>
      </c>
      <c r="Z211">
        <f t="shared" si="63"/>
        <v>2.3474958382314642E-2</v>
      </c>
      <c r="AA211">
        <f t="shared" si="64"/>
        <v>3.3088184383513956E-2</v>
      </c>
      <c r="AB211">
        <f t="shared" si="65"/>
        <v>3.9273360894182242E-2</v>
      </c>
      <c r="AC211">
        <f t="shared" si="66"/>
        <v>4.3078105376816889E-2</v>
      </c>
      <c r="AD211">
        <f t="shared" si="67"/>
        <v>4.2111203520370941E-2</v>
      </c>
      <c r="AE211">
        <f t="shared" si="68"/>
        <v>3.8974328160068061E-3</v>
      </c>
      <c r="AF211">
        <f t="shared" si="69"/>
        <v>-1.2801296307930391E-2</v>
      </c>
      <c r="AG211">
        <f t="shared" si="70"/>
        <v>1.1752224808007481E-2</v>
      </c>
      <c r="AH211">
        <f t="shared" si="71"/>
        <v>7.3446267602163273E-2</v>
      </c>
      <c r="AI211">
        <f t="shared" si="72"/>
        <v>-2.6529697171637352E-2</v>
      </c>
      <c r="AJ211">
        <f t="shared" si="61"/>
        <v>2.3025312470451666E-2</v>
      </c>
      <c r="AK211">
        <f t="shared" si="55"/>
        <v>3.2703637037985907E-2</v>
      </c>
      <c r="AL211">
        <f t="shared" si="56"/>
        <v>2.043384213083287E-2</v>
      </c>
      <c r="AM211">
        <f t="shared" si="57"/>
        <v>5.4692693583837021E-2</v>
      </c>
      <c r="AN211">
        <f t="shared" si="58"/>
        <v>-5.9546202547994823E-2</v>
      </c>
    </row>
    <row r="212" spans="1:40">
      <c r="A212" s="37">
        <v>42917</v>
      </c>
      <c r="B212" s="1">
        <v>8.1132080000000002</v>
      </c>
      <c r="C212" s="1">
        <v>19.903959</v>
      </c>
      <c r="D212" s="1">
        <v>72.925208999999995</v>
      </c>
      <c r="E212" s="1">
        <v>51.889770999999996</v>
      </c>
      <c r="F212" s="1">
        <v>53.640045000000001</v>
      </c>
      <c r="G212" s="1">
        <v>16.528562999999998</v>
      </c>
      <c r="H212" s="1">
        <v>113.266678</v>
      </c>
      <c r="I212" s="1">
        <v>72.365341000000001</v>
      </c>
      <c r="J212" s="1">
        <v>113.140869</v>
      </c>
      <c r="K212" s="1">
        <v>21.637667</v>
      </c>
      <c r="L212" s="1">
        <v>75.887282999999996</v>
      </c>
      <c r="M212" s="1">
        <v>17.664635000000001</v>
      </c>
      <c r="N212" s="1">
        <v>42.561355999999996</v>
      </c>
      <c r="O212" s="1">
        <v>36.234153999999997</v>
      </c>
      <c r="P212" s="1">
        <v>34.570819999999998</v>
      </c>
      <c r="Q212" s="1">
        <v>49.388999999999996</v>
      </c>
      <c r="R212" s="1">
        <v>66.301169999999999</v>
      </c>
      <c r="S212" s="1">
        <v>95.568091999999993</v>
      </c>
      <c r="V212" s="37">
        <v>42917</v>
      </c>
      <c r="W212">
        <f t="shared" si="59"/>
        <v>-8.0148937387036059E-2</v>
      </c>
      <c r="X212">
        <f t="shared" si="60"/>
        <v>-9.5358918293591867E-3</v>
      </c>
      <c r="Y212">
        <f t="shared" si="62"/>
        <v>-4.4673577829581713E-3</v>
      </c>
      <c r="Z212">
        <f t="shared" si="63"/>
        <v>-6.1361226666426993E-3</v>
      </c>
      <c r="AA212">
        <f t="shared" si="64"/>
        <v>-4.4791796874890877E-2</v>
      </c>
      <c r="AB212">
        <f t="shared" si="65"/>
        <v>-0.12547370270482669</v>
      </c>
      <c r="AC212">
        <f t="shared" si="66"/>
        <v>-9.6273769060305672E-2</v>
      </c>
      <c r="AD212">
        <f t="shared" si="67"/>
        <v>2.3936251471543425E-2</v>
      </c>
      <c r="AE212">
        <f t="shared" si="68"/>
        <v>2.3526732855481219E-2</v>
      </c>
      <c r="AF212">
        <f t="shared" si="69"/>
        <v>2.2919384053742956E-2</v>
      </c>
      <c r="AG212">
        <f t="shared" si="70"/>
        <v>1.4020636369337335E-2</v>
      </c>
      <c r="AH212">
        <f t="shared" si="71"/>
        <v>-1.6178879439060177E-2</v>
      </c>
      <c r="AI212">
        <f t="shared" si="72"/>
        <v>-5.3207256836459785E-2</v>
      </c>
      <c r="AJ212">
        <f t="shared" si="61"/>
        <v>4.9730124787790035E-2</v>
      </c>
      <c r="AK212">
        <f t="shared" si="55"/>
        <v>0.10266941889142345</v>
      </c>
      <c r="AL212">
        <f t="shared" si="56"/>
        <v>-7.2688452894369045E-3</v>
      </c>
      <c r="AM212">
        <f t="shared" si="57"/>
        <v>2.8473253186934736E-2</v>
      </c>
      <c r="AN212">
        <f t="shared" si="58"/>
        <v>-1.1336147633877551E-2</v>
      </c>
    </row>
    <row r="213" spans="1:40">
      <c r="A213" s="37">
        <v>42948</v>
      </c>
      <c r="B213" s="1">
        <v>7.4629430000000001</v>
      </c>
      <c r="C213" s="1">
        <v>19.714157</v>
      </c>
      <c r="D213" s="1">
        <v>72.599425999999994</v>
      </c>
      <c r="E213" s="1">
        <v>51.571368999999997</v>
      </c>
      <c r="F213" s="1">
        <v>51.237410999999994</v>
      </c>
      <c r="G213" s="1">
        <v>14.454663</v>
      </c>
      <c r="H213" s="1">
        <v>102.36206799999999</v>
      </c>
      <c r="I213" s="1">
        <v>74.097495999999992</v>
      </c>
      <c r="J213" s="1">
        <v>115.80270399999999</v>
      </c>
      <c r="K213" s="1">
        <v>22.133589000000001</v>
      </c>
      <c r="L213" s="1">
        <v>76.951270999999991</v>
      </c>
      <c r="M213" s="1">
        <v>17.378840999999998</v>
      </c>
      <c r="N213" s="1">
        <v>40.296782999999998</v>
      </c>
      <c r="O213" s="1">
        <v>38.036082999999998</v>
      </c>
      <c r="P213" s="1">
        <v>38.120185999999997</v>
      </c>
      <c r="Q213" s="1">
        <v>49.029998999999997</v>
      </c>
      <c r="R213" s="1">
        <v>68.188980000000001</v>
      </c>
      <c r="S213" s="1">
        <v>94.484718000000001</v>
      </c>
      <c r="V213" s="37">
        <v>42948</v>
      </c>
      <c r="W213">
        <f t="shared" si="59"/>
        <v>5.369597489891044E-2</v>
      </c>
      <c r="X213">
        <f t="shared" si="60"/>
        <v>6.6120757788425716E-2</v>
      </c>
      <c r="Y213">
        <f t="shared" si="62"/>
        <v>5.083098039921153E-2</v>
      </c>
      <c r="Z213">
        <f t="shared" si="63"/>
        <v>7.4186008131760073E-2</v>
      </c>
      <c r="AA213">
        <f t="shared" si="64"/>
        <v>5.4603793310321724E-2</v>
      </c>
      <c r="AB213">
        <f t="shared" si="65"/>
        <v>5.0553997696106794E-2</v>
      </c>
      <c r="AC213">
        <f t="shared" si="66"/>
        <v>8.3326051990274361E-2</v>
      </c>
      <c r="AD213">
        <f t="shared" si="67"/>
        <v>-1.3980796328124118E-2</v>
      </c>
      <c r="AE213">
        <f t="shared" si="68"/>
        <v>5.3175640872772698E-2</v>
      </c>
      <c r="AF213">
        <f t="shared" si="69"/>
        <v>6.275665460310112E-2</v>
      </c>
      <c r="AG213">
        <f t="shared" si="70"/>
        <v>5.0638708748553432E-2</v>
      </c>
      <c r="AH213">
        <f t="shared" si="71"/>
        <v>5.0938206983998521E-2</v>
      </c>
      <c r="AI213">
        <f t="shared" si="72"/>
        <v>8.773481992346642E-2</v>
      </c>
      <c r="AJ213">
        <f t="shared" si="61"/>
        <v>4.9617543425804343E-2</v>
      </c>
      <c r="AK213">
        <f t="shared" si="55"/>
        <v>-5.6553317971743323E-2</v>
      </c>
      <c r="AL213">
        <f t="shared" si="56"/>
        <v>-1.9630797871319487E-2</v>
      </c>
      <c r="AM213">
        <f t="shared" si="57"/>
        <v>1.5630531502304409E-3</v>
      </c>
      <c r="AN213">
        <f t="shared" si="58"/>
        <v>2.5049617018489664E-2</v>
      </c>
    </row>
    <row r="214" spans="1:40">
      <c r="A214" s="37">
        <v>42979</v>
      </c>
      <c r="B214" s="1">
        <v>7.8636729999999995</v>
      </c>
      <c r="C214" s="1">
        <v>21.017671999999997</v>
      </c>
      <c r="D214" s="1">
        <v>76.289726000000002</v>
      </c>
      <c r="E214" s="1">
        <v>55.397242999999996</v>
      </c>
      <c r="F214" s="1">
        <v>54.035167999999999</v>
      </c>
      <c r="G214" s="1">
        <v>15.185404</v>
      </c>
      <c r="H214" s="1">
        <v>110.89149499999999</v>
      </c>
      <c r="I214" s="1">
        <v>73.061554000000001</v>
      </c>
      <c r="J214" s="1">
        <v>121.96058699999999</v>
      </c>
      <c r="K214" s="1">
        <v>23.522618999999999</v>
      </c>
      <c r="L214" s="1">
        <v>80.847983999999997</v>
      </c>
      <c r="M214" s="1">
        <v>18.264087999999997</v>
      </c>
      <c r="N214" s="1">
        <v>43.832214</v>
      </c>
      <c r="O214" s="1">
        <v>39.923339999999996</v>
      </c>
      <c r="P214" s="1">
        <v>35.964362999999999</v>
      </c>
      <c r="Q214" s="1">
        <v>48.067501</v>
      </c>
      <c r="R214" s="1">
        <v>68.295563000000001</v>
      </c>
      <c r="S214" s="1">
        <v>96.851523999999998</v>
      </c>
      <c r="V214" s="37">
        <v>42979</v>
      </c>
      <c r="W214">
        <f t="shared" si="59"/>
        <v>-4.9275065227152706E-2</v>
      </c>
      <c r="X214">
        <f t="shared" si="60"/>
        <v>8.0899682895422528E-2</v>
      </c>
      <c r="Y214">
        <f t="shared" si="62"/>
        <v>5.3397255614733741E-2</v>
      </c>
      <c r="Z214">
        <f t="shared" si="63"/>
        <v>1.0448119232215249E-2</v>
      </c>
      <c r="AA214">
        <f t="shared" si="64"/>
        <v>1.1887387858218516E-2</v>
      </c>
      <c r="AB214">
        <f t="shared" si="65"/>
        <v>-0.1256467723874847</v>
      </c>
      <c r="AC214">
        <f t="shared" si="66"/>
        <v>6.3219365921615589E-2</v>
      </c>
      <c r="AD214">
        <f t="shared" si="67"/>
        <v>-5.0999941775122924E-2</v>
      </c>
      <c r="AE214">
        <f t="shared" si="68"/>
        <v>7.0080738460204503E-2</v>
      </c>
      <c r="AF214">
        <f t="shared" si="69"/>
        <v>-1.7927170439652095E-2</v>
      </c>
      <c r="AG214">
        <f t="shared" si="70"/>
        <v>5.5936237074260327E-2</v>
      </c>
      <c r="AH214">
        <f t="shared" si="71"/>
        <v>-2.5509623037295783E-2</v>
      </c>
      <c r="AI214">
        <f t="shared" si="72"/>
        <v>1.7951066765644015E-2</v>
      </c>
      <c r="AJ214">
        <f t="shared" si="61"/>
        <v>1.0307404140034447E-2</v>
      </c>
      <c r="AK214">
        <f t="shared" si="55"/>
        <v>9.6807414606509226E-2</v>
      </c>
      <c r="AL214">
        <f t="shared" si="56"/>
        <v>0.14971652052391898</v>
      </c>
      <c r="AM214">
        <f t="shared" si="57"/>
        <v>0.11665990658866082</v>
      </c>
      <c r="AN214">
        <f t="shared" si="58"/>
        <v>6.1896775109083375E-2</v>
      </c>
    </row>
    <row r="215" spans="1:40">
      <c r="A215" s="37">
        <v>43009</v>
      </c>
      <c r="B215" s="1">
        <v>7.4761899999999999</v>
      </c>
      <c r="C215" s="1">
        <v>22.717994999999998</v>
      </c>
      <c r="D215" s="1">
        <v>80.363388</v>
      </c>
      <c r="E215" s="1">
        <v>55.976039999999998</v>
      </c>
      <c r="F215" s="1">
        <v>54.677504999999996</v>
      </c>
      <c r="G215" s="1">
        <v>13.277407</v>
      </c>
      <c r="H215" s="1">
        <v>117.901985</v>
      </c>
      <c r="I215" s="1">
        <v>69.335419000000002</v>
      </c>
      <c r="J215" s="1">
        <v>130.50767500000001</v>
      </c>
      <c r="K215" s="1">
        <v>23.100925</v>
      </c>
      <c r="L215" s="1">
        <v>85.370316000000003</v>
      </c>
      <c r="M215" s="1">
        <v>17.798178</v>
      </c>
      <c r="N215" s="1">
        <v>44.619048999999997</v>
      </c>
      <c r="O215" s="1">
        <v>40.334845999999999</v>
      </c>
      <c r="P215" s="1">
        <v>39.445979999999999</v>
      </c>
      <c r="Q215" s="1">
        <v>55.263999999999996</v>
      </c>
      <c r="R215" s="1">
        <v>76.262917000000002</v>
      </c>
      <c r="S215" s="1">
        <v>102.84632099999999</v>
      </c>
      <c r="V215" s="37">
        <v>43009</v>
      </c>
      <c r="W215">
        <f t="shared" si="59"/>
        <v>5.1828939606938774E-2</v>
      </c>
      <c r="X215">
        <f t="shared" si="60"/>
        <v>2.8477469072424808E-2</v>
      </c>
      <c r="Y215">
        <f t="shared" si="62"/>
        <v>4.4935860593632533E-2</v>
      </c>
      <c r="Z215">
        <f t="shared" si="63"/>
        <v>2.7210910239452449E-2</v>
      </c>
      <c r="AA215">
        <f t="shared" si="64"/>
        <v>1.4339681373537468E-2</v>
      </c>
      <c r="AB215">
        <f t="shared" si="65"/>
        <v>0.26865697496506652</v>
      </c>
      <c r="AC215">
        <f t="shared" si="66"/>
        <v>0.12778451524798329</v>
      </c>
      <c r="AD215">
        <f t="shared" si="67"/>
        <v>5.0084661635923705E-2</v>
      </c>
      <c r="AE215">
        <f t="shared" si="68"/>
        <v>5.0015487594886561E-2</v>
      </c>
      <c r="AF215">
        <f t="shared" si="69"/>
        <v>3.4227070993910362E-2</v>
      </c>
      <c r="AG215">
        <f t="shared" si="70"/>
        <v>2.6876063103713863E-2</v>
      </c>
      <c r="AH215">
        <f t="shared" si="71"/>
        <v>-1.3724607091804552E-2</v>
      </c>
      <c r="AI215">
        <f t="shared" si="72"/>
        <v>5.8780275662083919E-3</v>
      </c>
      <c r="AJ215">
        <f t="shared" si="61"/>
        <v>1.0065143176696462E-2</v>
      </c>
      <c r="AK215">
        <f t="shared" si="55"/>
        <v>1.6623519050610557E-2</v>
      </c>
      <c r="AL215">
        <f t="shared" si="56"/>
        <v>6.4662384192240976E-2</v>
      </c>
      <c r="AM215">
        <f t="shared" si="57"/>
        <v>1.190193131479609E-2</v>
      </c>
      <c r="AN215">
        <f t="shared" si="58"/>
        <v>-5.840364479347002E-4</v>
      </c>
    </row>
    <row r="216" spans="1:40">
      <c r="A216" s="37">
        <v>43040</v>
      </c>
      <c r="B216" s="1">
        <v>7.8636729999999995</v>
      </c>
      <c r="C216" s="1">
        <v>23.364946</v>
      </c>
      <c r="D216" s="1">
        <v>83.974586000000002</v>
      </c>
      <c r="E216" s="1">
        <v>57.499198999999997</v>
      </c>
      <c r="F216" s="1">
        <v>55.461562999999998</v>
      </c>
      <c r="G216" s="1">
        <v>16.844474999999999</v>
      </c>
      <c r="H216" s="1">
        <v>132.96803299999999</v>
      </c>
      <c r="I216" s="1">
        <v>72.808059999999998</v>
      </c>
      <c r="J216" s="1">
        <v>137.03507999999999</v>
      </c>
      <c r="K216" s="1">
        <v>23.891601999999999</v>
      </c>
      <c r="L216" s="1">
        <v>87.664733999999996</v>
      </c>
      <c r="M216" s="1">
        <v>17.553905</v>
      </c>
      <c r="N216" s="1">
        <v>44.881321</v>
      </c>
      <c r="O216" s="1">
        <v>40.740822000000001</v>
      </c>
      <c r="P216" s="1">
        <v>40.101711000000002</v>
      </c>
      <c r="Q216" s="1">
        <v>58.837502000000001</v>
      </c>
      <c r="R216" s="1">
        <v>77.170592999999997</v>
      </c>
      <c r="S216" s="1">
        <v>102.786255</v>
      </c>
      <c r="V216" s="37">
        <v>43040</v>
      </c>
      <c r="W216">
        <f t="shared" si="59"/>
        <v>5.3140307334753223E-2</v>
      </c>
      <c r="X216">
        <f t="shared" si="60"/>
        <v>5.2388993323588276E-2</v>
      </c>
      <c r="Y216">
        <f t="shared" si="62"/>
        <v>2.3153683663292939E-2</v>
      </c>
      <c r="Z216">
        <f t="shared" si="63"/>
        <v>-1.0199046424977095E-2</v>
      </c>
      <c r="AA216">
        <f t="shared" si="64"/>
        <v>3.9085519461469181E-2</v>
      </c>
      <c r="AB216">
        <f t="shared" si="65"/>
        <v>5.8403244980920949E-2</v>
      </c>
      <c r="AC216">
        <f t="shared" si="66"/>
        <v>4.4374387338647008E-2</v>
      </c>
      <c r="AD216">
        <f t="shared" si="67"/>
        <v>2.1002290131065079E-2</v>
      </c>
      <c r="AE216">
        <f t="shared" si="68"/>
        <v>4.1277240834974105E-3</v>
      </c>
      <c r="AF216">
        <f t="shared" si="69"/>
        <v>8.0244514369526409E-3</v>
      </c>
      <c r="AG216">
        <f t="shared" si="70"/>
        <v>1.6375159479751582E-2</v>
      </c>
      <c r="AH216">
        <f t="shared" si="71"/>
        <v>-1.5957418021802106E-2</v>
      </c>
      <c r="AI216">
        <f t="shared" si="72"/>
        <v>8.1882260105490101E-2</v>
      </c>
      <c r="AJ216">
        <f t="shared" si="61"/>
        <v>2.8801971644067368E-2</v>
      </c>
      <c r="AK216">
        <f t="shared" si="55"/>
        <v>-1.1705759886404949E-2</v>
      </c>
      <c r="AL216">
        <f t="shared" si="56"/>
        <v>-6.1865814765556136E-3</v>
      </c>
      <c r="AM216">
        <f t="shared" si="57"/>
        <v>2.1380825724638317E-2</v>
      </c>
      <c r="AN216">
        <f t="shared" si="58"/>
        <v>6.3875758485412021E-3</v>
      </c>
    </row>
    <row r="217" spans="1:40">
      <c r="A217" s="37">
        <v>43070</v>
      </c>
      <c r="B217" s="1">
        <v>8.2815510000000003</v>
      </c>
      <c r="C217" s="1">
        <v>24.589012</v>
      </c>
      <c r="D217" s="1">
        <v>85.91890699999999</v>
      </c>
      <c r="E217" s="1">
        <v>56.912762000000001</v>
      </c>
      <c r="F217" s="1">
        <v>57.629306999999997</v>
      </c>
      <c r="G217" s="1">
        <v>17.828246999999998</v>
      </c>
      <c r="H217" s="1">
        <v>138.86840799999999</v>
      </c>
      <c r="I217" s="1">
        <v>74.337195999999992</v>
      </c>
      <c r="J217" s="1">
        <v>137.60072299999999</v>
      </c>
      <c r="K217" s="1">
        <v>24.083318999999999</v>
      </c>
      <c r="L217" s="1">
        <v>89.100257999999997</v>
      </c>
      <c r="M217" s="1">
        <v>17.273789999999998</v>
      </c>
      <c r="N217" s="1">
        <v>48.556304999999995</v>
      </c>
      <c r="O217" s="1">
        <v>41.914237999999997</v>
      </c>
      <c r="P217" s="1">
        <v>39.632289999999998</v>
      </c>
      <c r="Q217" s="1">
        <v>58.473498999999997</v>
      </c>
      <c r="R217" s="1">
        <v>78.82056399999999</v>
      </c>
      <c r="S217" s="1">
        <v>103.44280999999999</v>
      </c>
      <c r="V217" s="37">
        <v>43070</v>
      </c>
      <c r="W217">
        <f t="shared" si="59"/>
        <v>4.3119096893806365E-2</v>
      </c>
      <c r="X217">
        <f t="shared" si="60"/>
        <v>8.4010736177606446E-2</v>
      </c>
      <c r="Y217">
        <f t="shared" si="62"/>
        <v>8.1633964454412872E-2</v>
      </c>
      <c r="Z217">
        <f t="shared" si="63"/>
        <v>5.4696993971229062E-2</v>
      </c>
      <c r="AA217">
        <f t="shared" si="64"/>
        <v>2.8618112655770807E-2</v>
      </c>
      <c r="AB217">
        <f t="shared" si="65"/>
        <v>4.5470314608048776E-2</v>
      </c>
      <c r="AC217">
        <f t="shared" si="66"/>
        <v>6.7357004625558853E-2</v>
      </c>
      <c r="AD217">
        <f t="shared" si="67"/>
        <v>-6.0296247924121298E-2</v>
      </c>
      <c r="AE217">
        <f t="shared" si="68"/>
        <v>-2.0390227164722129E-2</v>
      </c>
      <c r="AF217">
        <f t="shared" si="69"/>
        <v>2.2639404477430982E-2</v>
      </c>
      <c r="AG217">
        <f t="shared" si="70"/>
        <v>9.0619266220307417E-4</v>
      </c>
      <c r="AH217">
        <f t="shared" si="71"/>
        <v>0.25675662376351688</v>
      </c>
      <c r="AI217">
        <f t="shared" si="72"/>
        <v>8.4226137058822828E-2</v>
      </c>
      <c r="AJ217">
        <f t="shared" si="61"/>
        <v>3.8067756355250996E-2</v>
      </c>
      <c r="AK217">
        <f t="shared" si="55"/>
        <v>-1.0636352327861948E-2</v>
      </c>
      <c r="AL217">
        <f t="shared" si="56"/>
        <v>0.2406389773254376</v>
      </c>
      <c r="AM217">
        <f t="shared" si="57"/>
        <v>0.1107080000087287</v>
      </c>
      <c r="AN217">
        <f t="shared" si="58"/>
        <v>6.700534333899083E-2</v>
      </c>
    </row>
    <row r="218" spans="1:40">
      <c r="A218" s="37">
        <v>43101</v>
      </c>
      <c r="B218" s="1">
        <v>8.6386439999999993</v>
      </c>
      <c r="C218" s="1">
        <v>26.654752999999999</v>
      </c>
      <c r="D218" s="1">
        <v>92.932807999999994</v>
      </c>
      <c r="E218" s="1">
        <v>60.025718999999995</v>
      </c>
      <c r="F218" s="1">
        <v>59.278548999999998</v>
      </c>
      <c r="G218" s="1">
        <v>18.638902999999999</v>
      </c>
      <c r="H218" s="1">
        <v>148.22216799999998</v>
      </c>
      <c r="I218" s="1">
        <v>69.854941999999994</v>
      </c>
      <c r="J218" s="1">
        <v>134.79501299999998</v>
      </c>
      <c r="K218" s="1">
        <v>24.628550999999998</v>
      </c>
      <c r="L218" s="1">
        <v>89.180999999999997</v>
      </c>
      <c r="M218" s="1">
        <v>21.708949999999998</v>
      </c>
      <c r="N218" s="1">
        <v>52.646014999999998</v>
      </c>
      <c r="O218" s="1">
        <v>43.509819</v>
      </c>
      <c r="P218" s="1">
        <v>39.210746999999998</v>
      </c>
      <c r="Q218" s="1">
        <v>72.544501999999994</v>
      </c>
      <c r="R218" s="1">
        <v>87.546630999999991</v>
      </c>
      <c r="S218" s="1">
        <v>110.37403099999999</v>
      </c>
      <c r="V218" s="37">
        <v>43101</v>
      </c>
      <c r="W218">
        <f t="shared" si="59"/>
        <v>3.3421449014451911E-2</v>
      </c>
      <c r="X218">
        <f t="shared" si="60"/>
        <v>3.1250336478450269E-3</v>
      </c>
      <c r="Y218">
        <f t="shared" si="62"/>
        <v>3.7323202372191856E-3</v>
      </c>
      <c r="Z218">
        <f t="shared" si="63"/>
        <v>-3.8098852260311893E-2</v>
      </c>
      <c r="AA218">
        <f t="shared" si="64"/>
        <v>-6.8103590052448787E-2</v>
      </c>
      <c r="AB218">
        <f t="shared" si="65"/>
        <v>0.13333354436148953</v>
      </c>
      <c r="AC218">
        <f t="shared" si="66"/>
        <v>-3.3349053429038905E-2</v>
      </c>
      <c r="AD218">
        <f t="shared" si="67"/>
        <v>-8.3639007244469488E-2</v>
      </c>
      <c r="AE218">
        <f t="shared" si="68"/>
        <v>-4.2351040093745899E-2</v>
      </c>
      <c r="AF218">
        <f t="shared" si="69"/>
        <v>-1.9708224003921339E-2</v>
      </c>
      <c r="AG218">
        <f t="shared" si="70"/>
        <v>-1.5553077449232476E-2</v>
      </c>
      <c r="AH218">
        <f t="shared" si="71"/>
        <v>3.8775251681910018E-2</v>
      </c>
      <c r="AI218">
        <f t="shared" si="72"/>
        <v>-0.11204008508526234</v>
      </c>
      <c r="AJ218">
        <f t="shared" si="61"/>
        <v>-3.8992393877805009E-2</v>
      </c>
      <c r="AK218">
        <f t="shared" si="55"/>
        <v>6.3847521191065335E-2</v>
      </c>
      <c r="AL218">
        <f t="shared" si="56"/>
        <v>4.2429073398284535E-2</v>
      </c>
      <c r="AM218">
        <f t="shared" si="57"/>
        <v>-1.3050999072711201E-2</v>
      </c>
      <c r="AN218">
        <f t="shared" si="58"/>
        <v>-4.8075384688994353E-2</v>
      </c>
    </row>
    <row r="219" spans="1:40">
      <c r="A219" s="37">
        <v>43132</v>
      </c>
      <c r="B219" s="1">
        <v>8.9273600000000002</v>
      </c>
      <c r="C219" s="1">
        <v>26.738049999999998</v>
      </c>
      <c r="D219" s="1">
        <v>93.279662999999999</v>
      </c>
      <c r="E219" s="1">
        <v>57.738807999999999</v>
      </c>
      <c r="F219" s="1">
        <v>55.241467</v>
      </c>
      <c r="G219" s="1">
        <v>21.124093999999999</v>
      </c>
      <c r="H219" s="1">
        <v>143.279099</v>
      </c>
      <c r="I219" s="1">
        <v>64.012343999999999</v>
      </c>
      <c r="J219" s="1">
        <v>129.08630399999998</v>
      </c>
      <c r="K219" s="1">
        <v>24.143165999999997</v>
      </c>
      <c r="L219" s="1">
        <v>87.793960999999996</v>
      </c>
      <c r="M219" s="1">
        <v>22.550719999999998</v>
      </c>
      <c r="N219" s="1">
        <v>46.747551000000001</v>
      </c>
      <c r="O219" s="1">
        <v>41.813266999999996</v>
      </c>
      <c r="P219" s="1">
        <v>41.714255999999999</v>
      </c>
      <c r="Q219" s="1">
        <v>75.622497999999993</v>
      </c>
      <c r="R219" s="1">
        <v>86.404060000000001</v>
      </c>
      <c r="S219" s="1">
        <v>105.067757</v>
      </c>
      <c r="V219" s="37">
        <v>43132</v>
      </c>
      <c r="W219">
        <f t="shared" si="59"/>
        <v>5.9573042870455393E-3</v>
      </c>
      <c r="X219">
        <f t="shared" si="60"/>
        <v>-6.5732205602128779E-2</v>
      </c>
      <c r="Y219">
        <f t="shared" si="62"/>
        <v>-4.7878796474640016E-2</v>
      </c>
      <c r="Z219">
        <f t="shared" si="63"/>
        <v>-0.1022147357112049</v>
      </c>
      <c r="AA219">
        <f t="shared" si="64"/>
        <v>-5.7885320098397443E-3</v>
      </c>
      <c r="AB219">
        <f t="shared" si="65"/>
        <v>1.1220552228180679E-2</v>
      </c>
      <c r="AC219">
        <f t="shared" si="66"/>
        <v>-3.4500119239303795E-2</v>
      </c>
      <c r="AD219">
        <f t="shared" si="67"/>
        <v>9.6794768209082383E-3</v>
      </c>
      <c r="AE219">
        <f t="shared" si="68"/>
        <v>-3.7628081752189499E-2</v>
      </c>
      <c r="AF219">
        <f t="shared" si="69"/>
        <v>-1.3528548824126749E-2</v>
      </c>
      <c r="AG219">
        <f t="shared" si="70"/>
        <v>-4.3379828824444994E-2</v>
      </c>
      <c r="AH219">
        <f t="shared" si="71"/>
        <v>0</v>
      </c>
      <c r="AI219">
        <f t="shared" si="72"/>
        <v>-9.7370790611041952E-2</v>
      </c>
      <c r="AJ219">
        <f t="shared" si="61"/>
        <v>-1.9320327206195056E-2</v>
      </c>
      <c r="AK219">
        <f t="shared" si="55"/>
        <v>-5.4210363958067442E-2</v>
      </c>
      <c r="AL219">
        <f t="shared" si="56"/>
        <v>-4.3049371365648299E-2</v>
      </c>
      <c r="AM219">
        <f t="shared" si="57"/>
        <v>-2.208878842035902E-2</v>
      </c>
      <c r="AN219">
        <f t="shared" si="58"/>
        <v>-5.707393182477539E-3</v>
      </c>
    </row>
    <row r="220" spans="1:40">
      <c r="A220" s="37">
        <v>43160</v>
      </c>
      <c r="B220" s="1">
        <v>8.9805429999999991</v>
      </c>
      <c r="C220" s="1">
        <v>24.980498999999998</v>
      </c>
      <c r="D220" s="1">
        <v>88.813544999999991</v>
      </c>
      <c r="E220" s="1">
        <v>51.837050999999995</v>
      </c>
      <c r="F220" s="1">
        <v>54.921699999999994</v>
      </c>
      <c r="G220" s="1">
        <v>21.361117999999998</v>
      </c>
      <c r="H220" s="1">
        <v>138.33595299999999</v>
      </c>
      <c r="I220" s="1">
        <v>64.631950000000003</v>
      </c>
      <c r="J220" s="1">
        <v>124.229034</v>
      </c>
      <c r="K220" s="1">
        <v>23.816544</v>
      </c>
      <c r="L220" s="1">
        <v>83.985473999999996</v>
      </c>
      <c r="M220" s="1">
        <v>22.550719999999998</v>
      </c>
      <c r="N220" s="1">
        <v>42.195704999999997</v>
      </c>
      <c r="O220" s="1">
        <v>41.005420999999998</v>
      </c>
      <c r="P220" s="1">
        <v>39.452911</v>
      </c>
      <c r="Q220" s="1">
        <v>72.366996999999998</v>
      </c>
      <c r="R220" s="1">
        <v>84.495498999999995</v>
      </c>
      <c r="S220" s="1">
        <v>104.46809399999999</v>
      </c>
      <c r="V220" s="37">
        <v>43160</v>
      </c>
      <c r="W220">
        <f t="shared" si="59"/>
        <v>-1.4377749764128804E-2</v>
      </c>
      <c r="X220">
        <f t="shared" si="60"/>
        <v>1.4096595908672544E-3</v>
      </c>
      <c r="Y220">
        <f t="shared" si="62"/>
        <v>-1.0821007088502043E-2</v>
      </c>
      <c r="Z220">
        <f t="shared" si="63"/>
        <v>1.1407516218467006E-2</v>
      </c>
      <c r="AA220">
        <f t="shared" si="64"/>
        <v>4.7634177383439726E-3</v>
      </c>
      <c r="AB220">
        <f t="shared" si="65"/>
        <v>5.8133708170143648E-2</v>
      </c>
      <c r="AC220">
        <f t="shared" si="66"/>
        <v>-0.1252525798553612</v>
      </c>
      <c r="AD220">
        <f t="shared" si="67"/>
        <v>-8.7538067472821196E-2</v>
      </c>
      <c r="AE220">
        <f t="shared" si="68"/>
        <v>-7.2050524034502267E-2</v>
      </c>
      <c r="AF220">
        <f t="shared" si="69"/>
        <v>3.1558189131051087E-2</v>
      </c>
      <c r="AG220">
        <f t="shared" si="70"/>
        <v>5.8640759710423221E-2</v>
      </c>
      <c r="AH220">
        <f t="shared" si="71"/>
        <v>-2.697115657504498E-2</v>
      </c>
      <c r="AI220">
        <f t="shared" si="72"/>
        <v>-8.5857316520720744E-3</v>
      </c>
      <c r="AJ220">
        <f t="shared" si="61"/>
        <v>-1.2313054900716696E-2</v>
      </c>
      <c r="AK220">
        <f t="shared" si="55"/>
        <v>-1.5019804242074903E-2</v>
      </c>
      <c r="AL220">
        <f t="shared" si="56"/>
        <v>8.2074788870954457E-2</v>
      </c>
      <c r="AM220">
        <f t="shared" si="57"/>
        <v>2.4651928500948904E-2</v>
      </c>
      <c r="AN220">
        <f t="shared" si="58"/>
        <v>-5.5204319129245304E-2</v>
      </c>
    </row>
    <row r="221" spans="1:40">
      <c r="A221" s="37">
        <v>43191</v>
      </c>
      <c r="B221" s="1">
        <v>8.8514230000000005</v>
      </c>
      <c r="C221" s="1">
        <v>25.015712999999998</v>
      </c>
      <c r="D221" s="1">
        <v>87.852492999999996</v>
      </c>
      <c r="E221" s="1">
        <v>52.428382999999997</v>
      </c>
      <c r="F221" s="1">
        <v>55.183315</v>
      </c>
      <c r="G221" s="1">
        <v>22.602919</v>
      </c>
      <c r="H221" s="1">
        <v>121.009018</v>
      </c>
      <c r="I221" s="1">
        <v>58.974193999999997</v>
      </c>
      <c r="J221" s="1">
        <v>115.278267</v>
      </c>
      <c r="K221" s="1">
        <v>24.568151</v>
      </c>
      <c r="L221" s="1">
        <v>88.910445999999993</v>
      </c>
      <c r="M221" s="1">
        <v>21.942501</v>
      </c>
      <c r="N221" s="1">
        <v>41.833424000000001</v>
      </c>
      <c r="O221" s="1">
        <v>40.500518999999997</v>
      </c>
      <c r="P221" s="1">
        <v>38.860335999999997</v>
      </c>
      <c r="Q221" s="1">
        <v>78.306502999999992</v>
      </c>
      <c r="R221" s="1">
        <v>86.578475999999995</v>
      </c>
      <c r="S221" s="1">
        <v>98.701003999999998</v>
      </c>
      <c r="V221" s="37">
        <v>43191</v>
      </c>
      <c r="W221">
        <f t="shared" si="59"/>
        <v>-7.4523384545061397E-2</v>
      </c>
      <c r="X221">
        <f t="shared" si="60"/>
        <v>-2.9411674174547816E-2</v>
      </c>
      <c r="Y221">
        <f t="shared" si="62"/>
        <v>-1.1283106103773246E-2</v>
      </c>
      <c r="Z221">
        <f t="shared" si="63"/>
        <v>-2.314339925379736E-2</v>
      </c>
      <c r="AA221">
        <f t="shared" si="64"/>
        <v>2.9091311386421709E-2</v>
      </c>
      <c r="AB221">
        <f t="shared" si="65"/>
        <v>0.12359209003049555</v>
      </c>
      <c r="AC221">
        <f t="shared" si="66"/>
        <v>0.10478085195270324</v>
      </c>
      <c r="AD221">
        <f t="shared" si="67"/>
        <v>2.0833281757102074E-2</v>
      </c>
      <c r="AE221">
        <f t="shared" si="68"/>
        <v>-1.6597091973979836E-2</v>
      </c>
      <c r="AF221">
        <f t="shared" si="69"/>
        <v>-1.8574006647875136E-2</v>
      </c>
      <c r="AG221">
        <f t="shared" si="70"/>
        <v>-8.1999363719312865E-4</v>
      </c>
      <c r="AH221">
        <f t="shared" si="71"/>
        <v>-2.8196785772050398E-2</v>
      </c>
      <c r="AI221">
        <f t="shared" si="72"/>
        <v>3.9068210146986637E-2</v>
      </c>
      <c r="AJ221">
        <f t="shared" si="61"/>
        <v>4.973857248594761E-2</v>
      </c>
      <c r="AK221">
        <f t="shared" si="55"/>
        <v>0.13076376900086512</v>
      </c>
      <c r="AL221">
        <f t="shared" si="56"/>
        <v>4.0539417269086955E-2</v>
      </c>
      <c r="AM221">
        <f t="shared" si="57"/>
        <v>5.6886159557717329E-2</v>
      </c>
      <c r="AN221">
        <f t="shared" si="58"/>
        <v>-2.5179298074820063E-2</v>
      </c>
    </row>
    <row r="222" spans="1:40">
      <c r="A222" s="37">
        <v>43221</v>
      </c>
      <c r="B222" s="1">
        <v>8.1917849999999994</v>
      </c>
      <c r="C222" s="1">
        <v>24.279958999999998</v>
      </c>
      <c r="D222" s="1">
        <v>86.861243999999999</v>
      </c>
      <c r="E222" s="1">
        <v>51.215011999999994</v>
      </c>
      <c r="F222" s="1">
        <v>56.788669999999996</v>
      </c>
      <c r="G222" s="1">
        <v>25.396460999999999</v>
      </c>
      <c r="H222" s="1">
        <v>133.688446</v>
      </c>
      <c r="I222" s="1">
        <v>60.202819999999996</v>
      </c>
      <c r="J222" s="1">
        <v>113.364983</v>
      </c>
      <c r="K222" s="1">
        <v>24.111822</v>
      </c>
      <c r="L222" s="1">
        <v>88.83753999999999</v>
      </c>
      <c r="M222" s="1">
        <v>21.323792999999998</v>
      </c>
      <c r="N222" s="1">
        <v>43.467780999999995</v>
      </c>
      <c r="O222" s="1">
        <v>42.514956999999995</v>
      </c>
      <c r="P222" s="1">
        <v>43.941859999999998</v>
      </c>
      <c r="Q222" s="1">
        <v>81.481003000000001</v>
      </c>
      <c r="R222" s="1">
        <v>91.503592999999995</v>
      </c>
      <c r="S222" s="1">
        <v>96.21578199999999</v>
      </c>
      <c r="V222" s="37">
        <v>43221</v>
      </c>
      <c r="W222">
        <f t="shared" si="59"/>
        <v>-6.0861216450382886E-2</v>
      </c>
      <c r="X222">
        <f t="shared" si="60"/>
        <v>-2.5303996600653265E-2</v>
      </c>
      <c r="Y222">
        <f t="shared" si="62"/>
        <v>-2.6258845659636262E-2</v>
      </c>
      <c r="Z222">
        <f t="shared" si="63"/>
        <v>8.1973230817558047E-3</v>
      </c>
      <c r="AA222">
        <f t="shared" si="64"/>
        <v>-1.8089876026327278E-3</v>
      </c>
      <c r="AB222">
        <f t="shared" si="65"/>
        <v>7.2185569477574096E-2</v>
      </c>
      <c r="AC222">
        <f t="shared" si="66"/>
        <v>-6.4945343145061382E-2</v>
      </c>
      <c r="AD222">
        <f t="shared" si="67"/>
        <v>6.6830739822486801E-2</v>
      </c>
      <c r="AE222">
        <f t="shared" si="68"/>
        <v>-4.6179436202094221E-2</v>
      </c>
      <c r="AF222">
        <f t="shared" si="69"/>
        <v>1.9597938305947894E-2</v>
      </c>
      <c r="AG222">
        <f t="shared" si="70"/>
        <v>-3.0521894235251688E-3</v>
      </c>
      <c r="AH222">
        <f t="shared" si="71"/>
        <v>0.13846176428368065</v>
      </c>
      <c r="AI222">
        <f t="shared" si="72"/>
        <v>3.4588008989922932E-2</v>
      </c>
      <c r="AJ222">
        <f t="shared" si="61"/>
        <v>-9.0769467319465613E-3</v>
      </c>
      <c r="AK222">
        <f t="shared" si="55"/>
        <v>-5.5986023349944179E-3</v>
      </c>
      <c r="AL222">
        <f t="shared" si="56"/>
        <v>4.3065191526913321E-2</v>
      </c>
      <c r="AM222">
        <f t="shared" si="57"/>
        <v>1.9974953333253154E-3</v>
      </c>
      <c r="AN222">
        <f t="shared" si="58"/>
        <v>-4.1906846425663951E-4</v>
      </c>
    </row>
    <row r="223" spans="1:40">
      <c r="A223" s="37">
        <v>43252</v>
      </c>
      <c r="B223" s="1">
        <v>7.6932229999999997</v>
      </c>
      <c r="C223" s="1">
        <v>23.665578999999997</v>
      </c>
      <c r="D223" s="1">
        <v>84.580367999999993</v>
      </c>
      <c r="E223" s="1">
        <v>51.634837999999995</v>
      </c>
      <c r="F223" s="1">
        <v>56.685939999999995</v>
      </c>
      <c r="G223" s="1">
        <v>27.229718999999999</v>
      </c>
      <c r="H223" s="1">
        <v>125.00600399999999</v>
      </c>
      <c r="I223" s="1">
        <v>64.226219</v>
      </c>
      <c r="J223" s="1">
        <v>108.129852</v>
      </c>
      <c r="K223" s="1">
        <v>24.584363999999997</v>
      </c>
      <c r="L223" s="1">
        <v>88.566390999999996</v>
      </c>
      <c r="M223" s="1">
        <v>24.276322999999998</v>
      </c>
      <c r="N223" s="1">
        <v>44.971244999999996</v>
      </c>
      <c r="O223" s="1">
        <v>42.129050999999997</v>
      </c>
      <c r="P223" s="1">
        <v>43.695847000000001</v>
      </c>
      <c r="Q223" s="1">
        <v>84.989998</v>
      </c>
      <c r="R223" s="1">
        <v>91.686370999999994</v>
      </c>
      <c r="S223" s="1">
        <v>96.175460999999999</v>
      </c>
      <c r="V223" s="37">
        <v>43252</v>
      </c>
      <c r="W223">
        <f t="shared" si="59"/>
        <v>3.0907202351992166E-2</v>
      </c>
      <c r="X223">
        <f t="shared" si="60"/>
        <v>9.5423695317152418E-2</v>
      </c>
      <c r="Y223">
        <f t="shared" si="62"/>
        <v>0.10316677742522956</v>
      </c>
      <c r="Z223">
        <f t="shared" si="63"/>
        <v>7.4268152056563147E-2</v>
      </c>
      <c r="AA223">
        <f t="shared" si="64"/>
        <v>2.6145425126583442E-2</v>
      </c>
      <c r="AB223">
        <f t="shared" si="65"/>
        <v>7.2009152940579316E-2</v>
      </c>
      <c r="AC223">
        <f t="shared" si="66"/>
        <v>4.0846494061197197E-2</v>
      </c>
      <c r="AD223">
        <f t="shared" si="67"/>
        <v>3.6126118524897166E-2</v>
      </c>
      <c r="AE223">
        <f t="shared" si="68"/>
        <v>0.13045450205554707</v>
      </c>
      <c r="AF223">
        <f t="shared" si="69"/>
        <v>0.10060658880579554</v>
      </c>
      <c r="AG223">
        <f t="shared" si="70"/>
        <v>1.5510262803866554E-2</v>
      </c>
      <c r="AH223">
        <f t="shared" si="71"/>
        <v>-4.2471011775547615E-2</v>
      </c>
      <c r="AI223">
        <f t="shared" si="72"/>
        <v>3.336947865241445E-2</v>
      </c>
      <c r="AJ223">
        <f t="shared" si="61"/>
        <v>2.2813639927469567E-2</v>
      </c>
      <c r="AK223">
        <f t="shared" si="55"/>
        <v>2.7983322991770806E-2</v>
      </c>
      <c r="AL223">
        <f t="shared" si="56"/>
        <v>4.5676010017084538E-2</v>
      </c>
      <c r="AM223">
        <f t="shared" si="57"/>
        <v>7.5753003682521233E-2</v>
      </c>
      <c r="AN223">
        <f t="shared" si="58"/>
        <v>3.7437439473256014E-2</v>
      </c>
    </row>
    <row r="224" spans="1:40">
      <c r="A224" s="37">
        <v>43282</v>
      </c>
      <c r="B224" s="1">
        <v>7.9309989999999999</v>
      </c>
      <c r="C224" s="1">
        <v>25.923835999999998</v>
      </c>
      <c r="D224" s="1">
        <v>93.306252000000001</v>
      </c>
      <c r="E224" s="1">
        <v>55.469662</v>
      </c>
      <c r="F224" s="1">
        <v>58.168017999999996</v>
      </c>
      <c r="G224" s="1">
        <v>29.190507999999998</v>
      </c>
      <c r="H224" s="1">
        <v>130.11206099999998</v>
      </c>
      <c r="I224" s="1">
        <v>66.546463000000003</v>
      </c>
      <c r="J224" s="1">
        <v>122.235878</v>
      </c>
      <c r="K224" s="1">
        <v>27.057713</v>
      </c>
      <c r="L224" s="1">
        <v>89.940078999999997</v>
      </c>
      <c r="M224" s="1">
        <v>23.245283000000001</v>
      </c>
      <c r="N224" s="1">
        <v>46.471911999999996</v>
      </c>
      <c r="O224" s="1">
        <v>43.090167999999998</v>
      </c>
      <c r="P224" s="1">
        <v>44.918602</v>
      </c>
      <c r="Q224" s="1">
        <v>88.872001999999995</v>
      </c>
      <c r="R224" s="1">
        <v>98.631889000000001</v>
      </c>
      <c r="S224" s="1">
        <v>99.776023999999992</v>
      </c>
      <c r="V224" s="37">
        <v>43282</v>
      </c>
      <c r="W224">
        <f t="shared" si="59"/>
        <v>-9.4777719679450298E-2</v>
      </c>
      <c r="X224">
        <f t="shared" si="60"/>
        <v>1.6194362593560942E-3</v>
      </c>
      <c r="Y224">
        <f t="shared" si="62"/>
        <v>2.1979770444535362E-3</v>
      </c>
      <c r="Z224">
        <f t="shared" si="63"/>
        <v>-9.0418614773604394E-3</v>
      </c>
      <c r="AA224">
        <f t="shared" si="64"/>
        <v>3.3804349324744076E-2</v>
      </c>
      <c r="AB224">
        <f t="shared" si="65"/>
        <v>-8.0040402174569911E-2</v>
      </c>
      <c r="AC224">
        <f t="shared" si="66"/>
        <v>-6.837675102233467E-3</v>
      </c>
      <c r="AD224">
        <f t="shared" si="67"/>
        <v>3.4901148690652389E-2</v>
      </c>
      <c r="AE224">
        <f t="shared" si="68"/>
        <v>-5.981113008408228E-2</v>
      </c>
      <c r="AF224">
        <f t="shared" si="69"/>
        <v>3.9819514679603485E-2</v>
      </c>
      <c r="AG224">
        <f t="shared" si="70"/>
        <v>6.8735063041249878E-2</v>
      </c>
      <c r="AH224">
        <f t="shared" si="71"/>
        <v>-5.9052840957023484E-2</v>
      </c>
      <c r="AI224">
        <f t="shared" si="72"/>
        <v>2.0771643740416883E-2</v>
      </c>
      <c r="AJ224">
        <f t="shared" si="61"/>
        <v>3.1414428460803431E-2</v>
      </c>
      <c r="AK224">
        <f t="shared" si="55"/>
        <v>0.19622709985497755</v>
      </c>
      <c r="AL224">
        <f t="shared" si="56"/>
        <v>0.13236447627229106</v>
      </c>
      <c r="AM224">
        <f t="shared" si="57"/>
        <v>5.8917557586269056E-2</v>
      </c>
      <c r="AN224">
        <f t="shared" si="58"/>
        <v>1.0694733636610028E-2</v>
      </c>
    </row>
    <row r="225" spans="1:40">
      <c r="A225" s="37">
        <v>43313</v>
      </c>
      <c r="B225" s="1">
        <v>7.1793169999999993</v>
      </c>
      <c r="C225" s="1">
        <v>25.965817999999999</v>
      </c>
      <c r="D225" s="1">
        <v>93.511336999999997</v>
      </c>
      <c r="E225" s="1">
        <v>54.968112999999995</v>
      </c>
      <c r="F225" s="1">
        <v>60.134349999999998</v>
      </c>
      <c r="G225" s="1">
        <v>26.854087999999997</v>
      </c>
      <c r="H225" s="1">
        <v>129.222397</v>
      </c>
      <c r="I225" s="1">
        <v>68.869011</v>
      </c>
      <c r="J225" s="1">
        <v>114.92481199999999</v>
      </c>
      <c r="K225" s="1">
        <v>28.135137999999998</v>
      </c>
      <c r="L225" s="1">
        <v>96.122115999999991</v>
      </c>
      <c r="M225" s="1">
        <v>21.872582999999999</v>
      </c>
      <c r="N225" s="1">
        <v>47.43721</v>
      </c>
      <c r="O225" s="1">
        <v>44.443821</v>
      </c>
      <c r="P225" s="1">
        <v>53.732848999999995</v>
      </c>
      <c r="Q225" s="1">
        <v>100.635498</v>
      </c>
      <c r="R225" s="1">
        <v>104.443039</v>
      </c>
      <c r="S225" s="1">
        <v>100.843102</v>
      </c>
      <c r="V225" s="37">
        <v>43313</v>
      </c>
      <c r="W225">
        <f t="shared" si="59"/>
        <v>-3.1225533013794955E-2</v>
      </c>
      <c r="X225">
        <f t="shared" si="60"/>
        <v>-4.7526636749899452E-2</v>
      </c>
      <c r="Y225">
        <f t="shared" si="62"/>
        <v>-1.5186201433522525E-2</v>
      </c>
      <c r="Z225">
        <f t="shared" si="63"/>
        <v>1.336613101490321E-2</v>
      </c>
      <c r="AA225">
        <f t="shared" si="64"/>
        <v>6.9543779886204688E-3</v>
      </c>
      <c r="AB225">
        <f t="shared" si="65"/>
        <v>-4.9794839430033815E-2</v>
      </c>
      <c r="AC225">
        <f t="shared" si="66"/>
        <v>4.5410409775946216E-2</v>
      </c>
      <c r="AD225">
        <f t="shared" si="67"/>
        <v>3.3757272919165632E-3</v>
      </c>
      <c r="AE225">
        <f t="shared" si="68"/>
        <v>4.2054652219052586E-2</v>
      </c>
      <c r="AF225">
        <f t="shared" si="69"/>
        <v>7.045407063580067E-2</v>
      </c>
      <c r="AG225">
        <f t="shared" si="70"/>
        <v>4.8120039305002841E-3</v>
      </c>
      <c r="AH225">
        <f t="shared" si="71"/>
        <v>-6.4377398865053262E-3</v>
      </c>
      <c r="AI225">
        <f t="shared" si="72"/>
        <v>-9.4654196568474513E-2</v>
      </c>
      <c r="AJ225">
        <f t="shared" si="61"/>
        <v>4.958507055457655E-3</v>
      </c>
      <c r="AK225">
        <f t="shared" si="55"/>
        <v>-4.8250931194807238E-3</v>
      </c>
      <c r="AL225">
        <f t="shared" si="56"/>
        <v>-4.8243016594402676E-3</v>
      </c>
      <c r="AM225">
        <f t="shared" si="57"/>
        <v>2.2079164126964958E-2</v>
      </c>
      <c r="AN225">
        <f t="shared" si="58"/>
        <v>4.3443387927515224E-2</v>
      </c>
    </row>
    <row r="226" spans="1:40">
      <c r="A226" s="37">
        <v>43344</v>
      </c>
      <c r="B226" s="1">
        <v>6.955139</v>
      </c>
      <c r="C226" s="1">
        <v>24.731749999999998</v>
      </c>
      <c r="D226" s="1">
        <v>92.09125499999999</v>
      </c>
      <c r="E226" s="1">
        <v>55.702824</v>
      </c>
      <c r="F226" s="1">
        <v>60.552546999999997</v>
      </c>
      <c r="G226" s="1">
        <v>25.516893</v>
      </c>
      <c r="H226" s="1">
        <v>135.090439</v>
      </c>
      <c r="I226" s="1">
        <v>69.101494000000002</v>
      </c>
      <c r="J226" s="1">
        <v>119.75793499999999</v>
      </c>
      <c r="K226" s="1">
        <v>30.117372999999997</v>
      </c>
      <c r="L226" s="1">
        <v>96.584655999999995</v>
      </c>
      <c r="M226" s="1">
        <v>21.731773</v>
      </c>
      <c r="N226" s="1">
        <v>42.947078999999995</v>
      </c>
      <c r="O226" s="1">
        <v>44.664195999999997</v>
      </c>
      <c r="P226" s="1">
        <v>53.473582999999998</v>
      </c>
      <c r="Q226" s="1">
        <v>100.150002</v>
      </c>
      <c r="R226" s="1">
        <v>106.749054</v>
      </c>
      <c r="S226" s="1">
        <v>105.22406799999999</v>
      </c>
      <c r="V226" s="37">
        <v>43344</v>
      </c>
      <c r="W226">
        <f t="shared" si="59"/>
        <v>-1.7877140916953613E-2</v>
      </c>
      <c r="X226">
        <f t="shared" si="60"/>
        <v>-6.2018498488784574E-2</v>
      </c>
      <c r="Y226">
        <f t="shared" si="62"/>
        <v>-3.3853040660592464E-2</v>
      </c>
      <c r="Z226">
        <f t="shared" si="63"/>
        <v>-8.7538147078503631E-2</v>
      </c>
      <c r="AA226">
        <f t="shared" si="64"/>
        <v>-9.4389836318528417E-2</v>
      </c>
      <c r="AB226">
        <f t="shared" si="65"/>
        <v>-2.3056882356327999E-3</v>
      </c>
      <c r="AC226">
        <f t="shared" si="66"/>
        <v>-9.4949028924245449E-2</v>
      </c>
      <c r="AD226">
        <f t="shared" si="67"/>
        <v>6.5481203633600008E-2</v>
      </c>
      <c r="AE226">
        <f t="shared" si="68"/>
        <v>-0.20060927069258502</v>
      </c>
      <c r="AF226">
        <f t="shared" si="69"/>
        <v>-2.2918134327319876E-2</v>
      </c>
      <c r="AG226">
        <f t="shared" si="70"/>
        <v>-3.5308382731103746E-2</v>
      </c>
      <c r="AH226">
        <f t="shared" si="71"/>
        <v>0.14038882147351714</v>
      </c>
      <c r="AI226">
        <f t="shared" si="72"/>
        <v>1.2747456002770295E-2</v>
      </c>
      <c r="AJ226">
        <f t="shared" si="61"/>
        <v>-8.7828873041843211E-2</v>
      </c>
      <c r="AK226">
        <f t="shared" si="55"/>
        <v>-3.0477647252475992E-2</v>
      </c>
      <c r="AL226">
        <f t="shared" si="56"/>
        <v>-0.2021917583186868</v>
      </c>
      <c r="AM226">
        <f t="shared" si="57"/>
        <v>-6.610144760627111E-2</v>
      </c>
      <c r="AN226">
        <f t="shared" si="58"/>
        <v>-0.23662440992112177</v>
      </c>
    </row>
    <row r="227" spans="1:40">
      <c r="A227" s="37">
        <v>43374</v>
      </c>
      <c r="B227" s="1">
        <v>6.8308010000000001</v>
      </c>
      <c r="C227" s="1">
        <v>23.197924</v>
      </c>
      <c r="D227" s="1">
        <v>88.973686000000001</v>
      </c>
      <c r="E227" s="1">
        <v>50.826701999999997</v>
      </c>
      <c r="F227" s="1">
        <v>54.837001999999998</v>
      </c>
      <c r="G227" s="1">
        <v>25.458058999999999</v>
      </c>
      <c r="H227" s="1">
        <v>122.26373299999999</v>
      </c>
      <c r="I227" s="1">
        <v>73.626342999999991</v>
      </c>
      <c r="J227" s="1">
        <v>95.733382999999989</v>
      </c>
      <c r="K227" s="1">
        <v>29.427139</v>
      </c>
      <c r="L227" s="1">
        <v>93.174408</v>
      </c>
      <c r="M227" s="1">
        <v>24.782671000000001</v>
      </c>
      <c r="N227" s="1">
        <v>43.494544999999995</v>
      </c>
      <c r="O227" s="1">
        <v>40.741389999999996</v>
      </c>
      <c r="P227" s="1">
        <v>51.843834000000001</v>
      </c>
      <c r="Q227" s="1">
        <v>79.900497000000001</v>
      </c>
      <c r="R227" s="1">
        <v>99.692786999999996</v>
      </c>
      <c r="S227" s="1">
        <v>80.325485</v>
      </c>
      <c r="V227" s="37">
        <v>43374</v>
      </c>
      <c r="W227">
        <f t="shared" si="59"/>
        <v>-5.9157923060560544E-2</v>
      </c>
      <c r="X227">
        <f t="shared" si="60"/>
        <v>3.272719576113791E-2</v>
      </c>
      <c r="Y227">
        <f t="shared" si="62"/>
        <v>2.7046918119139177E-2</v>
      </c>
      <c r="Z227">
        <f t="shared" si="63"/>
        <v>-1.0235269642322974E-2</v>
      </c>
      <c r="AA227">
        <f t="shared" si="64"/>
        <v>6.5453614696149654E-3</v>
      </c>
      <c r="AB227">
        <f t="shared" si="65"/>
        <v>-2.041082550716047E-3</v>
      </c>
      <c r="AC227">
        <f t="shared" si="66"/>
        <v>0.1435324488251967</v>
      </c>
      <c r="AD227">
        <f t="shared" si="67"/>
        <v>7.5159022905701145E-2</v>
      </c>
      <c r="AE227">
        <f t="shared" si="68"/>
        <v>0.12298344246332553</v>
      </c>
      <c r="AF227">
        <f t="shared" si="69"/>
        <v>7.3618301799573502E-2</v>
      </c>
      <c r="AG227">
        <f t="shared" si="70"/>
        <v>9.6808889840223081E-2</v>
      </c>
      <c r="AH227">
        <f t="shared" si="71"/>
        <v>1.8078680865351311E-2</v>
      </c>
      <c r="AI227">
        <f t="shared" si="72"/>
        <v>1.9725692037932705E-2</v>
      </c>
      <c r="AJ227">
        <f t="shared" si="61"/>
        <v>5.8996514355549139E-3</v>
      </c>
      <c r="AK227">
        <f t="shared" si="55"/>
        <v>-0.18404435520721724</v>
      </c>
      <c r="AL227">
        <f t="shared" si="56"/>
        <v>5.7671756409725446E-2</v>
      </c>
      <c r="AM227">
        <f t="shared" si="57"/>
        <v>3.8198942116042994E-2</v>
      </c>
      <c r="AN227">
        <f t="shared" si="58"/>
        <v>7.6583278644380443E-2</v>
      </c>
    </row>
    <row r="228" spans="1:40">
      <c r="A228" s="37">
        <v>43405</v>
      </c>
      <c r="B228" s="1">
        <v>6.4267050000000001</v>
      </c>
      <c r="C228" s="1">
        <v>23.957127</v>
      </c>
      <c r="D228" s="1">
        <v>91.38015</v>
      </c>
      <c r="E228" s="1">
        <v>50.306477000000001</v>
      </c>
      <c r="F228" s="1">
        <v>55.195929999999997</v>
      </c>
      <c r="G228" s="1">
        <v>25.406096999999999</v>
      </c>
      <c r="H228" s="1">
        <v>139.812546</v>
      </c>
      <c r="I228" s="1">
        <v>79.160026999999999</v>
      </c>
      <c r="J228" s="1">
        <v>107.50700399999999</v>
      </c>
      <c r="K228" s="1">
        <v>31.593515</v>
      </c>
      <c r="L228" s="1">
        <v>102.194519</v>
      </c>
      <c r="M228" s="1">
        <v>25.230708999999997</v>
      </c>
      <c r="N228" s="1">
        <v>44.352505000000001</v>
      </c>
      <c r="O228" s="1">
        <v>40.981749999999998</v>
      </c>
      <c r="P228" s="1">
        <v>42.302268999999995</v>
      </c>
      <c r="Q228" s="1">
        <v>84.508499</v>
      </c>
      <c r="R228" s="1">
        <v>103.500946</v>
      </c>
      <c r="S228" s="1">
        <v>86.477074000000002</v>
      </c>
      <c r="V228" s="37">
        <v>43405</v>
      </c>
      <c r="W228">
        <f t="shared" si="59"/>
        <v>-8.8271050250478295E-2</v>
      </c>
      <c r="X228">
        <f t="shared" si="60"/>
        <v>-0.13239425578868455</v>
      </c>
      <c r="Y228">
        <f t="shared" si="62"/>
        <v>-0.12204331028128106</v>
      </c>
      <c r="Z228">
        <f t="shared" si="63"/>
        <v>-0.19095046150816725</v>
      </c>
      <c r="AA228">
        <f t="shared" si="64"/>
        <v>-0.12281900132853996</v>
      </c>
      <c r="AB228">
        <f t="shared" si="65"/>
        <v>-0.12974881580590672</v>
      </c>
      <c r="AC228">
        <f t="shared" si="66"/>
        <v>-3.6867406734728971E-2</v>
      </c>
      <c r="AD228">
        <f t="shared" si="67"/>
        <v>-2.7404513138935643E-2</v>
      </c>
      <c r="AE228">
        <f t="shared" si="68"/>
        <v>-8.0160554004462883E-2</v>
      </c>
      <c r="AF228">
        <f t="shared" si="69"/>
        <v>-4.8522014723591314E-2</v>
      </c>
      <c r="AG228">
        <f t="shared" si="70"/>
        <v>-0.15097522989466788</v>
      </c>
      <c r="AH228">
        <f t="shared" si="71"/>
        <v>-0.16921371492176446</v>
      </c>
      <c r="AI228">
        <f t="shared" si="72"/>
        <v>-0.14420067141641726</v>
      </c>
      <c r="AJ228">
        <f t="shared" si="61"/>
        <v>-0.10090401215175039</v>
      </c>
      <c r="AK228">
        <f t="shared" si="55"/>
        <v>-0.11361650600822379</v>
      </c>
      <c r="AL228">
        <f t="shared" si="56"/>
        <v>-0.11134969986864879</v>
      </c>
      <c r="AM228">
        <f t="shared" si="57"/>
        <v>-8.0090292121581225E-2</v>
      </c>
      <c r="AN228">
        <f t="shared" si="58"/>
        <v>-7.3648294344464169E-2</v>
      </c>
    </row>
    <row r="229" spans="1:40">
      <c r="A229" s="37">
        <v>43435</v>
      </c>
      <c r="B229" s="1">
        <v>5.859413</v>
      </c>
      <c r="C229" s="1">
        <v>20.785340999999999</v>
      </c>
      <c r="D229" s="1">
        <v>80.227813999999995</v>
      </c>
      <c r="E229" s="1">
        <v>40.700431999999999</v>
      </c>
      <c r="F229" s="1">
        <v>48.416820999999999</v>
      </c>
      <c r="G229" s="1">
        <v>22.109686</v>
      </c>
      <c r="H229" s="1">
        <v>134.65801999999999</v>
      </c>
      <c r="I229" s="1">
        <v>76.990684999999999</v>
      </c>
      <c r="J229" s="1">
        <v>98.889182999999989</v>
      </c>
      <c r="K229" s="1">
        <v>30.060533999999997</v>
      </c>
      <c r="L229" s="1">
        <v>86.765677999999994</v>
      </c>
      <c r="M229" s="1">
        <v>20.961327000000001</v>
      </c>
      <c r="N229" s="1">
        <v>37.956843999999997</v>
      </c>
      <c r="O229" s="1">
        <v>36.846527000000002</v>
      </c>
      <c r="P229" s="1">
        <v>37.496032999999997</v>
      </c>
      <c r="Q229" s="1">
        <v>75.098502999999994</v>
      </c>
      <c r="R229" s="1">
        <v>95.211524999999995</v>
      </c>
      <c r="S229" s="1">
        <v>80.108184999999992</v>
      </c>
      <c r="V229" s="37">
        <v>43435</v>
      </c>
      <c r="W229">
        <f t="shared" si="59"/>
        <v>0.10875338536471142</v>
      </c>
      <c r="X229">
        <f t="shared" si="60"/>
        <v>0.16189568407850516</v>
      </c>
      <c r="Y229">
        <f t="shared" si="62"/>
        <v>6.0233536962629876E-2</v>
      </c>
      <c r="Z229">
        <f t="shared" si="63"/>
        <v>0.23818651359769349</v>
      </c>
      <c r="AA229">
        <f t="shared" si="64"/>
        <v>0.1199699377206116</v>
      </c>
      <c r="AB229">
        <f t="shared" si="65"/>
        <v>-0.10637315247263131</v>
      </c>
      <c r="AC229">
        <f t="shared" si="66"/>
        <v>0.10514135734358791</v>
      </c>
      <c r="AD229">
        <f t="shared" si="67"/>
        <v>4.9499741429758701E-2</v>
      </c>
      <c r="AE229">
        <f t="shared" si="68"/>
        <v>5.5954502121834802E-2</v>
      </c>
      <c r="AF229">
        <f t="shared" si="69"/>
        <v>-2.7491095134903464E-2</v>
      </c>
      <c r="AG229">
        <f t="shared" si="70"/>
        <v>7.7423356272280905E-2</v>
      </c>
      <c r="AH229">
        <f t="shared" si="71"/>
        <v>0.15343236618559494</v>
      </c>
      <c r="AI229">
        <f t="shared" si="72"/>
        <v>6.1415195636391751E-2</v>
      </c>
      <c r="AJ229">
        <f t="shared" si="61"/>
        <v>0.13254201678220562</v>
      </c>
      <c r="AK229">
        <f t="shared" si="55"/>
        <v>5.5154047896213469E-2</v>
      </c>
      <c r="AL229">
        <f t="shared" si="56"/>
        <v>0.14431709777224189</v>
      </c>
      <c r="AM229">
        <f t="shared" si="57"/>
        <v>2.8157872694508358E-2</v>
      </c>
      <c r="AN229">
        <f t="shared" si="58"/>
        <v>0.18254590339301793</v>
      </c>
    </row>
    <row r="230" spans="1:40">
      <c r="A230" s="37">
        <v>43466</v>
      </c>
      <c r="B230" s="1">
        <v>6.4966439999999999</v>
      </c>
      <c r="C230" s="1">
        <v>24.150397999999999</v>
      </c>
      <c r="D230" s="1">
        <v>85.060218999999989</v>
      </c>
      <c r="E230" s="1">
        <v>50.394725999999999</v>
      </c>
      <c r="F230" s="1">
        <v>54.225383999999998</v>
      </c>
      <c r="G230" s="1">
        <v>19.757808999999998</v>
      </c>
      <c r="H230" s="1">
        <v>148.816147</v>
      </c>
      <c r="I230" s="1">
        <v>80.801704000000001</v>
      </c>
      <c r="J230" s="1">
        <v>104.422478</v>
      </c>
      <c r="K230" s="1">
        <v>29.234136999999997</v>
      </c>
      <c r="L230" s="1">
        <v>93.483367999999999</v>
      </c>
      <c r="M230" s="1">
        <v>24.177472999999999</v>
      </c>
      <c r="N230" s="1">
        <v>40.287970999999999</v>
      </c>
      <c r="O230" s="1">
        <v>41.730239999999995</v>
      </c>
      <c r="P230" s="1">
        <v>39.564090999999998</v>
      </c>
      <c r="Q230" s="1">
        <v>85.936500999999993</v>
      </c>
      <c r="R230" s="1">
        <v>97.892478999999994</v>
      </c>
      <c r="S230" s="1">
        <v>94.731605999999999</v>
      </c>
      <c r="V230" s="37">
        <v>43466</v>
      </c>
      <c r="W230">
        <f t="shared" si="59"/>
        <v>3.5885143160068425E-2</v>
      </c>
      <c r="X230">
        <f t="shared" si="60"/>
        <v>2.1425692446145176E-2</v>
      </c>
      <c r="Y230">
        <f t="shared" si="62"/>
        <v>1.6497512191921401E-2</v>
      </c>
      <c r="Z230">
        <f t="shared" si="63"/>
        <v>-7.4462553879150618E-3</v>
      </c>
      <c r="AA230">
        <f t="shared" si="64"/>
        <v>7.592969742731559E-2</v>
      </c>
      <c r="AB230">
        <f t="shared" si="65"/>
        <v>-5.7414412701327348E-2</v>
      </c>
      <c r="AC230">
        <f t="shared" si="66"/>
        <v>2.4372355239113804E-4</v>
      </c>
      <c r="AD230">
        <f t="shared" si="67"/>
        <v>2.964089717711885E-2</v>
      </c>
      <c r="AE230">
        <f t="shared" si="68"/>
        <v>4.7374187002150965E-2</v>
      </c>
      <c r="AF230">
        <f t="shared" si="69"/>
        <v>3.0119958731807318E-2</v>
      </c>
      <c r="AG230">
        <f t="shared" si="70"/>
        <v>5.3368659118058263E-2</v>
      </c>
      <c r="AH230">
        <f t="shared" si="71"/>
        <v>0.2799523755026011</v>
      </c>
      <c r="AI230">
        <f t="shared" si="72"/>
        <v>2.9283480173275537E-2</v>
      </c>
      <c r="AJ230">
        <f t="shared" si="61"/>
        <v>2.917088423167475E-2</v>
      </c>
      <c r="AK230">
        <f t="shared" si="55"/>
        <v>4.0314637836617984E-2</v>
      </c>
      <c r="AL230">
        <f t="shared" si="56"/>
        <v>-4.5905988190047362E-2</v>
      </c>
      <c r="AM230">
        <f t="shared" si="57"/>
        <v>7.2775907534224318E-2</v>
      </c>
      <c r="AN230">
        <f t="shared" si="58"/>
        <v>2.7600165461144931E-2</v>
      </c>
    </row>
    <row r="231" spans="1:40">
      <c r="A231" s="37">
        <v>43497</v>
      </c>
      <c r="B231" s="1">
        <v>6.7297769999999995</v>
      </c>
      <c r="C231" s="1">
        <v>24.667836999999999</v>
      </c>
      <c r="D231" s="1">
        <v>86.463500999999994</v>
      </c>
      <c r="E231" s="1">
        <v>50.019473999999995</v>
      </c>
      <c r="F231" s="1">
        <v>58.342700999999998</v>
      </c>
      <c r="G231" s="1">
        <v>18.623425999999998</v>
      </c>
      <c r="H231" s="1">
        <v>148.852417</v>
      </c>
      <c r="I231" s="1">
        <v>83.196738999999994</v>
      </c>
      <c r="J231" s="1">
        <v>109.36940799999999</v>
      </c>
      <c r="K231" s="1">
        <v>30.114667999999998</v>
      </c>
      <c r="L231" s="1">
        <v>98.472449999999995</v>
      </c>
      <c r="M231" s="1">
        <v>30.946013999999998</v>
      </c>
      <c r="N231" s="1">
        <v>41.467742999999999</v>
      </c>
      <c r="O231" s="1">
        <v>42.947547999999998</v>
      </c>
      <c r="P231" s="1">
        <v>41.159102999999995</v>
      </c>
      <c r="Q231" s="1">
        <v>81.991501</v>
      </c>
      <c r="R231" s="1">
        <v>105.01669299999999</v>
      </c>
      <c r="S231" s="1">
        <v>97.346213999999989</v>
      </c>
      <c r="V231" s="37">
        <v>43497</v>
      </c>
      <c r="W231">
        <f t="shared" si="59"/>
        <v>-5.4048299074397246E-2</v>
      </c>
      <c r="X231">
        <f t="shared" si="60"/>
        <v>-4.6393933931053663E-2</v>
      </c>
      <c r="Y231">
        <f t="shared" si="62"/>
        <v>-2.9992123497289247E-2</v>
      </c>
      <c r="Z231">
        <f t="shared" si="63"/>
        <v>-2.0672108627131907E-2</v>
      </c>
      <c r="AA231">
        <f t="shared" si="64"/>
        <v>-4.0030885782953371E-2</v>
      </c>
      <c r="AB231">
        <f t="shared" si="65"/>
        <v>-3.0657785522384517E-2</v>
      </c>
      <c r="AC231">
        <f t="shared" si="66"/>
        <v>-2.5603393460517331E-2</v>
      </c>
      <c r="AD231">
        <f t="shared" si="67"/>
        <v>5.5809194636823559E-2</v>
      </c>
      <c r="AE231">
        <f t="shared" si="68"/>
        <v>2.8241535329513789E-2</v>
      </c>
      <c r="AF231">
        <f t="shared" si="69"/>
        <v>-2.0299875130617404E-2</v>
      </c>
      <c r="AG231">
        <f t="shared" si="70"/>
        <v>1.4479146197743663E-2</v>
      </c>
      <c r="AH231">
        <f t="shared" si="71"/>
        <v>0</v>
      </c>
      <c r="AI231">
        <f t="shared" si="72"/>
        <v>-3.1468966131096128E-2</v>
      </c>
      <c r="AJ231">
        <f t="shared" si="61"/>
        <v>-5.3154256908916009E-2</v>
      </c>
      <c r="AK231">
        <f t="shared" si="55"/>
        <v>0.10173064267216907</v>
      </c>
      <c r="AL231">
        <f t="shared" si="56"/>
        <v>8.5935699603791854E-2</v>
      </c>
      <c r="AM231">
        <f t="shared" si="57"/>
        <v>5.7249650776948394E-2</v>
      </c>
      <c r="AN231">
        <f t="shared" si="58"/>
        <v>3.3403158339573455E-2</v>
      </c>
    </row>
    <row r="232" spans="1:40">
      <c r="A232" s="37">
        <v>43525</v>
      </c>
      <c r="B232" s="1">
        <v>6.3660439999999996</v>
      </c>
      <c r="C232" s="1">
        <v>23.523398999999998</v>
      </c>
      <c r="D232" s="1">
        <v>83.870277000000002</v>
      </c>
      <c r="E232" s="1">
        <v>48.985465999999995</v>
      </c>
      <c r="F232" s="1">
        <v>56.007190999999999</v>
      </c>
      <c r="G232" s="1">
        <v>18.052472999999999</v>
      </c>
      <c r="H232" s="1">
        <v>145.04129</v>
      </c>
      <c r="I232" s="1">
        <v>87.839882000000003</v>
      </c>
      <c r="J232" s="1">
        <v>112.458168</v>
      </c>
      <c r="K232" s="1">
        <v>29.503343999999998</v>
      </c>
      <c r="L232" s="1">
        <v>99.898246999999998</v>
      </c>
      <c r="M232" s="1">
        <v>30.946013999999998</v>
      </c>
      <c r="N232" s="1">
        <v>40.162796</v>
      </c>
      <c r="O232" s="1">
        <v>40.664702999999996</v>
      </c>
      <c r="P232" s="1">
        <v>45.346244999999996</v>
      </c>
      <c r="Q232" s="1">
        <v>89.037497999999999</v>
      </c>
      <c r="R232" s="1">
        <v>111.02886199999999</v>
      </c>
      <c r="S232" s="1">
        <v>100.59788499999999</v>
      </c>
      <c r="V232" s="37">
        <v>43525</v>
      </c>
      <c r="W232">
        <f t="shared" si="59"/>
        <v>6.9999830349900219E-2</v>
      </c>
      <c r="X232">
        <f t="shared" si="60"/>
        <v>0.10837277384956154</v>
      </c>
      <c r="Y232">
        <f t="shared" si="62"/>
        <v>0.14639911109390985</v>
      </c>
      <c r="Z232">
        <f t="shared" si="63"/>
        <v>0.13629075203653276</v>
      </c>
      <c r="AA232">
        <f t="shared" si="64"/>
        <v>5.5466395377693496E-2</v>
      </c>
      <c r="AB232">
        <f t="shared" si="65"/>
        <v>-4.7284934313431134E-3</v>
      </c>
      <c r="AC232">
        <f t="shared" si="66"/>
        <v>4.1223930096043526E-2</v>
      </c>
      <c r="AD232">
        <f t="shared" si="67"/>
        <v>2.3354015889957527E-2</v>
      </c>
      <c r="AE232">
        <f t="shared" si="68"/>
        <v>8.1979469912758923E-2</v>
      </c>
      <c r="AF232">
        <f t="shared" si="69"/>
        <v>-4.3795781251101541E-2</v>
      </c>
      <c r="AG232">
        <f t="shared" si="70"/>
        <v>7.2552994848848557E-2</v>
      </c>
      <c r="AH232">
        <f t="shared" si="71"/>
        <v>9.1324847200029979E-3</v>
      </c>
      <c r="AI232">
        <f t="shared" si="72"/>
        <v>1.862569528276748E-3</v>
      </c>
      <c r="AJ232">
        <f t="shared" si="61"/>
        <v>4.8591821757557135E-2</v>
      </c>
      <c r="AK232">
        <f t="shared" si="55"/>
        <v>5.6436117257338617E-2</v>
      </c>
      <c r="AL232">
        <f t="shared" si="56"/>
        <v>8.1858746749599698E-2</v>
      </c>
      <c r="AM232">
        <f t="shared" si="57"/>
        <v>0.10734309786945311</v>
      </c>
      <c r="AN232">
        <f t="shared" si="58"/>
        <v>-5.8824198938178095E-3</v>
      </c>
    </row>
    <row r="233" spans="1:40">
      <c r="A233" s="37">
        <v>43556</v>
      </c>
      <c r="B233" s="1">
        <v>6.8116659999999998</v>
      </c>
      <c r="C233" s="1">
        <v>26.072695</v>
      </c>
      <c r="D233" s="1">
        <v>96.148810999999995</v>
      </c>
      <c r="E233" s="1">
        <v>55.661732000000001</v>
      </c>
      <c r="F233" s="1">
        <v>59.113707999999995</v>
      </c>
      <c r="G233" s="1">
        <v>17.967112</v>
      </c>
      <c r="H233" s="1">
        <v>151.02046199999998</v>
      </c>
      <c r="I233" s="1">
        <v>89.891295999999997</v>
      </c>
      <c r="J233" s="1">
        <v>121.67742899999999</v>
      </c>
      <c r="K233" s="1">
        <v>28.211221999999999</v>
      </c>
      <c r="L233" s="1">
        <v>107.146164</v>
      </c>
      <c r="M233" s="1">
        <v>31.228627999999997</v>
      </c>
      <c r="N233" s="1">
        <v>40.237601999999995</v>
      </c>
      <c r="O233" s="1">
        <v>42.640674999999995</v>
      </c>
      <c r="P233" s="1">
        <v>47.905411000000001</v>
      </c>
      <c r="Q233" s="1">
        <v>96.325995999999989</v>
      </c>
      <c r="R233" s="1">
        <v>122.94704399999999</v>
      </c>
      <c r="S233" s="1">
        <v>100.00612599999999</v>
      </c>
      <c r="V233" s="37">
        <v>43556</v>
      </c>
      <c r="W233">
        <f t="shared" si="59"/>
        <v>-0.12733639611807152</v>
      </c>
      <c r="X233">
        <f t="shared" si="60"/>
        <v>-0.13015064227154124</v>
      </c>
      <c r="Y233">
        <f t="shared" si="62"/>
        <v>-7.9958783889693574E-2</v>
      </c>
      <c r="Z233">
        <f t="shared" si="63"/>
        <v>-0.12093351676516284</v>
      </c>
      <c r="AA233">
        <f t="shared" si="64"/>
        <v>-7.182273187802736E-2</v>
      </c>
      <c r="AB233">
        <f t="shared" si="65"/>
        <v>-0.12616824562567436</v>
      </c>
      <c r="AC233">
        <f t="shared" si="66"/>
        <v>-0.1537161699319923</v>
      </c>
      <c r="AD233">
        <f t="shared" si="67"/>
        <v>-2.6704276240493815E-2</v>
      </c>
      <c r="AE233">
        <f t="shared" si="68"/>
        <v>-0.13219647334921905</v>
      </c>
      <c r="AF233">
        <f t="shared" si="69"/>
        <v>2.2408316803859046E-2</v>
      </c>
      <c r="AG233">
        <f t="shared" si="70"/>
        <v>-1.8032572776007262E-2</v>
      </c>
      <c r="AH233">
        <f t="shared" si="71"/>
        <v>-3.8686746020350229E-2</v>
      </c>
      <c r="AI233">
        <f t="shared" si="72"/>
        <v>-8.3453830076653177E-2</v>
      </c>
      <c r="AJ233">
        <f t="shared" si="61"/>
        <v>-3.1158535834622657E-2</v>
      </c>
      <c r="AK233">
        <f t="shared" si="55"/>
        <v>-0.12757287480531171</v>
      </c>
      <c r="AL233">
        <f t="shared" si="56"/>
        <v>-7.8613191811689062E-2</v>
      </c>
      <c r="AM233">
        <f t="shared" si="57"/>
        <v>-5.2986316612866263E-2</v>
      </c>
      <c r="AN233">
        <f t="shared" si="58"/>
        <v>-9.4674520238890114E-2</v>
      </c>
    </row>
    <row r="234" spans="1:40">
      <c r="A234" s="37">
        <v>43586</v>
      </c>
      <c r="B234" s="1">
        <v>5.944293</v>
      </c>
      <c r="C234" s="1">
        <v>22.679316999999998</v>
      </c>
      <c r="D234" s="1">
        <v>88.460869000000002</v>
      </c>
      <c r="E234" s="1">
        <v>48.930363</v>
      </c>
      <c r="F234" s="1">
        <v>54.867999999999995</v>
      </c>
      <c r="G234" s="1">
        <v>15.700232999999999</v>
      </c>
      <c r="H234" s="1">
        <v>127.806175</v>
      </c>
      <c r="I234" s="1">
        <v>87.490814</v>
      </c>
      <c r="J234" s="1">
        <v>105.592102</v>
      </c>
      <c r="K234" s="1">
        <v>28.843387999999997</v>
      </c>
      <c r="L234" s="1">
        <v>105.21404299999999</v>
      </c>
      <c r="M234" s="1">
        <v>30.020493999999999</v>
      </c>
      <c r="N234" s="1">
        <v>36.879619999999996</v>
      </c>
      <c r="O234" s="1">
        <v>41.312053999999996</v>
      </c>
      <c r="P234" s="1">
        <v>41.793979999999998</v>
      </c>
      <c r="Q234" s="1">
        <v>88.753501999999997</v>
      </c>
      <c r="R234" s="1">
        <v>116.43253299999999</v>
      </c>
      <c r="S234" s="1">
        <v>90.538094000000001</v>
      </c>
      <c r="V234" s="37">
        <v>43586</v>
      </c>
      <c r="W234">
        <f t="shared" si="59"/>
        <v>1.8741505507887907E-2</v>
      </c>
      <c r="X234">
        <f t="shared" si="60"/>
        <v>9.0225644802266303E-2</v>
      </c>
      <c r="Y234">
        <f t="shared" si="62"/>
        <v>5.511531884227807E-2</v>
      </c>
      <c r="Z234">
        <f t="shared" si="63"/>
        <v>0.13404308895071959</v>
      </c>
      <c r="AA234">
        <f t="shared" si="64"/>
        <v>3.9112889115695958E-2</v>
      </c>
      <c r="AB234">
        <f t="shared" si="65"/>
        <v>4.3266810116766967E-2</v>
      </c>
      <c r="AC234">
        <f t="shared" si="66"/>
        <v>0.18220686911254477</v>
      </c>
      <c r="AD234">
        <f t="shared" si="67"/>
        <v>6.549376715137202E-2</v>
      </c>
      <c r="AE234">
        <f t="shared" si="68"/>
        <v>0.13669234466039898</v>
      </c>
      <c r="AF234">
        <f t="shared" si="69"/>
        <v>5.2606476049207644E-2</v>
      </c>
      <c r="AG234">
        <f t="shared" si="70"/>
        <v>7.6105011951684093E-2</v>
      </c>
      <c r="AH234">
        <f t="shared" si="71"/>
        <v>2.5141458365075538E-2</v>
      </c>
      <c r="AI234">
        <f t="shared" si="72"/>
        <v>7.67959648174249E-2</v>
      </c>
      <c r="AJ234">
        <f t="shared" si="61"/>
        <v>6.7886602781841873E-2</v>
      </c>
      <c r="AK234">
        <f t="shared" si="55"/>
        <v>0.13487298888500213</v>
      </c>
      <c r="AL234">
        <f t="shared" si="56"/>
        <v>6.6791741919096273E-2</v>
      </c>
      <c r="AM234">
        <f t="shared" si="57"/>
        <v>8.7126799860997667E-2</v>
      </c>
      <c r="AN234">
        <f t="shared" si="58"/>
        <v>9.881166705364923E-2</v>
      </c>
    </row>
    <row r="235" spans="1:40">
      <c r="A235" s="37">
        <v>43617</v>
      </c>
      <c r="B235" s="1">
        <v>6.0556979999999996</v>
      </c>
      <c r="C235" s="1">
        <v>24.725572999999997</v>
      </c>
      <c r="D235" s="1">
        <v>93.336417999999995</v>
      </c>
      <c r="E235" s="1">
        <v>55.489139999999999</v>
      </c>
      <c r="F235" s="1">
        <v>57.014046</v>
      </c>
      <c r="G235" s="1">
        <v>16.379531999999998</v>
      </c>
      <c r="H235" s="1">
        <v>151.09333799999999</v>
      </c>
      <c r="I235" s="1">
        <v>93.220917</v>
      </c>
      <c r="J235" s="1">
        <v>120.025734</v>
      </c>
      <c r="K235" s="1">
        <v>30.360737</v>
      </c>
      <c r="L235" s="1">
        <v>113.22135899999999</v>
      </c>
      <c r="M235" s="1">
        <v>30.775252999999999</v>
      </c>
      <c r="N235" s="1">
        <v>39.711825999999995</v>
      </c>
      <c r="O235" s="1">
        <v>44.116588999999998</v>
      </c>
      <c r="P235" s="1">
        <v>47.430858999999998</v>
      </c>
      <c r="Q235" s="1">
        <v>94.681502999999992</v>
      </c>
      <c r="R235" s="1">
        <v>126.576927</v>
      </c>
      <c r="S235" s="1">
        <v>99.484313999999998</v>
      </c>
      <c r="V235" s="37">
        <v>43617</v>
      </c>
      <c r="W235">
        <f t="shared" si="59"/>
        <v>-1.708258899304425E-2</v>
      </c>
      <c r="X235">
        <f t="shared" si="60"/>
        <v>6.3647705960140979E-2</v>
      </c>
      <c r="Y235">
        <f t="shared" si="62"/>
        <v>3.7567179833278008E-2</v>
      </c>
      <c r="Z235">
        <f t="shared" si="63"/>
        <v>1.6136094378107157E-2</v>
      </c>
      <c r="AA235">
        <f t="shared" si="64"/>
        <v>-8.4823308277402528E-3</v>
      </c>
      <c r="AB235">
        <f t="shared" si="65"/>
        <v>7.8180011492391871E-2</v>
      </c>
      <c r="AC235">
        <f t="shared" si="66"/>
        <v>4.2324566288952353E-3</v>
      </c>
      <c r="AD235">
        <f t="shared" si="67"/>
        <v>7.6516132103699397E-2</v>
      </c>
      <c r="AE235">
        <f t="shared" si="68"/>
        <v>2.5929547741820075E-2</v>
      </c>
      <c r="AF235">
        <f t="shared" si="69"/>
        <v>-0.10341669242087242</v>
      </c>
      <c r="AG235">
        <f t="shared" si="70"/>
        <v>7.5339583231817248E-3</v>
      </c>
      <c r="AH235">
        <f t="shared" si="71"/>
        <v>9.3807319796851057E-2</v>
      </c>
      <c r="AI235">
        <f t="shared" si="72"/>
        <v>2.3034876311152294E-2</v>
      </c>
      <c r="AJ235">
        <f t="shared" si="61"/>
        <v>1.3706862060437685E-3</v>
      </c>
      <c r="AK235">
        <f t="shared" si="55"/>
        <v>7.6394378604865726E-2</v>
      </c>
      <c r="AL235">
        <f t="shared" si="56"/>
        <v>-1.4179179221521234E-2</v>
      </c>
      <c r="AM235">
        <f t="shared" si="57"/>
        <v>1.7243948417234083E-2</v>
      </c>
      <c r="AN235">
        <f t="shared" si="58"/>
        <v>7.4981629767281718E-2</v>
      </c>
    </row>
    <row r="236" spans="1:40">
      <c r="A236" s="37">
        <v>43647</v>
      </c>
      <c r="B236" s="1">
        <v>5.9522509999999995</v>
      </c>
      <c r="C236" s="1">
        <v>26.299298999999998</v>
      </c>
      <c r="D236" s="1">
        <v>96.842804000000001</v>
      </c>
      <c r="E236" s="1">
        <v>56.384518</v>
      </c>
      <c r="F236" s="1">
        <v>56.530434</v>
      </c>
      <c r="G236" s="1">
        <v>17.660083999999998</v>
      </c>
      <c r="H236" s="1">
        <v>151.732834</v>
      </c>
      <c r="I236" s="1">
        <v>100.353821</v>
      </c>
      <c r="J236" s="1">
        <v>123.137947</v>
      </c>
      <c r="K236" s="1">
        <v>27.220929999999999</v>
      </c>
      <c r="L236" s="1">
        <v>114.07436399999999</v>
      </c>
      <c r="M236" s="1">
        <v>33.662196999999999</v>
      </c>
      <c r="N236" s="1">
        <v>40.626582999999997</v>
      </c>
      <c r="O236" s="1">
        <v>44.177059</v>
      </c>
      <c r="P236" s="1">
        <v>51.054310000000001</v>
      </c>
      <c r="Q236" s="1">
        <v>93.338996999999992</v>
      </c>
      <c r="R236" s="1">
        <v>128.759613</v>
      </c>
      <c r="S236" s="1">
        <v>106.94381</v>
      </c>
      <c r="V236" s="37">
        <v>43647</v>
      </c>
      <c r="W236">
        <f t="shared" si="59"/>
        <v>-0.11229953172337653</v>
      </c>
      <c r="X236">
        <f t="shared" si="60"/>
        <v>-0.10332461713142992</v>
      </c>
      <c r="Y236">
        <f t="shared" si="62"/>
        <v>-4.6226222446016839E-2</v>
      </c>
      <c r="Z236">
        <f t="shared" si="63"/>
        <v>-9.5699957921073373E-2</v>
      </c>
      <c r="AA236">
        <f t="shared" si="64"/>
        <v>-7.3027389105132304E-2</v>
      </c>
      <c r="AB236">
        <f t="shared" si="65"/>
        <v>-0.35063791316054888</v>
      </c>
      <c r="AC236">
        <f t="shared" si="66"/>
        <v>-6.4835617582941901E-2</v>
      </c>
      <c r="AD236">
        <f t="shared" si="67"/>
        <v>2.5149436014000923E-2</v>
      </c>
      <c r="AE236">
        <f t="shared" si="68"/>
        <v>-9.9803669781826088E-2</v>
      </c>
      <c r="AF236">
        <f t="shared" si="69"/>
        <v>-8.4706290343496679E-2</v>
      </c>
      <c r="AG236">
        <f t="shared" si="70"/>
        <v>-2.9135389262393757E-2</v>
      </c>
      <c r="AH236">
        <f t="shared" si="71"/>
        <v>-0.18043308343778039</v>
      </c>
      <c r="AI236">
        <f t="shared" si="72"/>
        <v>-3.8008955860255302E-2</v>
      </c>
      <c r="AJ236">
        <f t="shared" si="61"/>
        <v>-6.3776857576689397E-2</v>
      </c>
      <c r="AK236">
        <f t="shared" si="55"/>
        <v>-2.0183761175109529E-2</v>
      </c>
      <c r="AL236">
        <f t="shared" si="56"/>
        <v>-4.8473822790274838E-2</v>
      </c>
      <c r="AM236">
        <f t="shared" si="57"/>
        <v>1.166798318972889E-2</v>
      </c>
      <c r="AN236">
        <f t="shared" si="58"/>
        <v>-8.5739174618895672E-2</v>
      </c>
    </row>
    <row r="237" spans="1:40">
      <c r="A237" s="37">
        <v>43678</v>
      </c>
      <c r="B237" s="1">
        <v>5.2838159999999998</v>
      </c>
      <c r="C237" s="1">
        <v>23.581934</v>
      </c>
      <c r="D237" s="1">
        <v>92.366126999999992</v>
      </c>
      <c r="E237" s="1">
        <v>50.988521999999996</v>
      </c>
      <c r="F237" s="1">
        <v>52.402163999999999</v>
      </c>
      <c r="G237" s="1">
        <v>11.467789</v>
      </c>
      <c r="H237" s="1">
        <v>141.89514199999999</v>
      </c>
      <c r="I237" s="1">
        <v>102.877663</v>
      </c>
      <c r="J237" s="1">
        <v>110.848328</v>
      </c>
      <c r="K237" s="1">
        <v>24.915146</v>
      </c>
      <c r="L237" s="1">
        <v>110.75076299999999</v>
      </c>
      <c r="M237" s="1">
        <v>27.588422999999999</v>
      </c>
      <c r="N237" s="1">
        <v>39.082408999999998</v>
      </c>
      <c r="O237" s="1">
        <v>41.359584999999996</v>
      </c>
      <c r="P237" s="1">
        <v>50.023841999999995</v>
      </c>
      <c r="Q237" s="1">
        <v>88.814498999999998</v>
      </c>
      <c r="R237" s="1">
        <v>130.261978</v>
      </c>
      <c r="S237" s="1">
        <v>97.774535999999998</v>
      </c>
      <c r="V237" s="37">
        <v>43678</v>
      </c>
      <c r="W237">
        <f t="shared" si="59"/>
        <v>0.12823818997482123</v>
      </c>
      <c r="X237">
        <f t="shared" si="60"/>
        <v>6.0341615747037454E-2</v>
      </c>
      <c r="Y237">
        <f t="shared" si="62"/>
        <v>7.1272372392533145E-2</v>
      </c>
      <c r="Z237">
        <f t="shared" si="63"/>
        <v>8.1574555151843753E-2</v>
      </c>
      <c r="AA237">
        <f t="shared" si="64"/>
        <v>7.4602796937928012E-2</v>
      </c>
      <c r="AB237">
        <f t="shared" si="65"/>
        <v>5.2845583398857393E-2</v>
      </c>
      <c r="AC237">
        <f t="shared" si="66"/>
        <v>8.8890379347870835E-2</v>
      </c>
      <c r="AD237">
        <f t="shared" si="67"/>
        <v>3.4517113787858891E-2</v>
      </c>
      <c r="AE237">
        <f t="shared" si="68"/>
        <v>9.2590102035639194E-2</v>
      </c>
      <c r="AF237">
        <f t="shared" si="69"/>
        <v>2.0144654179429622E-2</v>
      </c>
      <c r="AG237">
        <f t="shared" si="70"/>
        <v>-1.7363076767245356E-2</v>
      </c>
      <c r="AH237">
        <f t="shared" si="71"/>
        <v>-2.4657516669220239E-2</v>
      </c>
      <c r="AI237">
        <f t="shared" si="72"/>
        <v>9.5294688717883214E-2</v>
      </c>
      <c r="AJ237">
        <f t="shared" si="61"/>
        <v>7.5106290355669778E-2</v>
      </c>
      <c r="AK237">
        <f t="shared" si="55"/>
        <v>7.703822509274684E-2</v>
      </c>
      <c r="AL237">
        <f t="shared" si="56"/>
        <v>-2.2732740968341204E-2</v>
      </c>
      <c r="AM237">
        <f t="shared" si="57"/>
        <v>1.184535214105231E-2</v>
      </c>
      <c r="AN237">
        <f t="shared" si="58"/>
        <v>8.5615205578679507E-2</v>
      </c>
    </row>
    <row r="238" spans="1:40">
      <c r="A238" s="37">
        <v>43709</v>
      </c>
      <c r="B238" s="1">
        <v>5.9614029999999998</v>
      </c>
      <c r="C238" s="1">
        <v>25.004905999999998</v>
      </c>
      <c r="D238" s="1">
        <v>98.949280000000002</v>
      </c>
      <c r="E238" s="1">
        <v>55.147887999999995</v>
      </c>
      <c r="F238" s="1">
        <v>56.311512</v>
      </c>
      <c r="G238" s="1">
        <v>12.073810999999999</v>
      </c>
      <c r="H238" s="1">
        <v>154.50825499999999</v>
      </c>
      <c r="I238" s="1">
        <v>106.428703</v>
      </c>
      <c r="J238" s="1">
        <v>121.111786</v>
      </c>
      <c r="K238" s="1">
        <v>25.417052999999999</v>
      </c>
      <c r="L238" s="1">
        <v>108.827789</v>
      </c>
      <c r="M238" s="1">
        <v>26.908161</v>
      </c>
      <c r="N238" s="1">
        <v>42.806754999999995</v>
      </c>
      <c r="O238" s="1">
        <v>44.465949999999999</v>
      </c>
      <c r="P238" s="1">
        <v>53.877589999999998</v>
      </c>
      <c r="Q238" s="1">
        <v>86.795501999999999</v>
      </c>
      <c r="R238" s="1">
        <v>131.80497700000001</v>
      </c>
      <c r="S238" s="1">
        <v>106.145523</v>
      </c>
      <c r="V238" s="37">
        <v>43709</v>
      </c>
      <c r="W238">
        <f t="shared" si="59"/>
        <v>0.17574939993152616</v>
      </c>
      <c r="X238">
        <f t="shared" si="60"/>
        <v>7.9057285798234955E-2</v>
      </c>
      <c r="Y238">
        <f t="shared" si="62"/>
        <v>6.1432533920408511E-2</v>
      </c>
      <c r="Z238">
        <f t="shared" si="63"/>
        <v>4.0243100515472245E-2</v>
      </c>
      <c r="AA238">
        <f t="shared" si="64"/>
        <v>3.2542191372874861E-3</v>
      </c>
      <c r="AB238">
        <f t="shared" si="65"/>
        <v>-3.3355665415003696E-3</v>
      </c>
      <c r="AC238">
        <f t="shared" si="66"/>
        <v>3.7105616136820674E-2</v>
      </c>
      <c r="AD238">
        <f t="shared" si="67"/>
        <v>1.0449624665630822E-3</v>
      </c>
      <c r="AE238">
        <f t="shared" si="68"/>
        <v>4.7919143063417463E-2</v>
      </c>
      <c r="AF238">
        <f t="shared" si="69"/>
        <v>6.7910036619902373E-2</v>
      </c>
      <c r="AG238">
        <f t="shared" si="70"/>
        <v>-8.4544031304357344E-3</v>
      </c>
      <c r="AH238">
        <f t="shared" si="71"/>
        <v>8.4972139121659018E-2</v>
      </c>
      <c r="AI238">
        <f t="shared" si="72"/>
        <v>2.3592584861898622E-2</v>
      </c>
      <c r="AJ238">
        <f t="shared" si="61"/>
        <v>-2.0425808961688708E-2</v>
      </c>
      <c r="AK238">
        <f t="shared" si="55"/>
        <v>0.11068427522463425</v>
      </c>
      <c r="AL238">
        <f t="shared" si="56"/>
        <v>2.3474695727896122E-2</v>
      </c>
      <c r="AM238">
        <f t="shared" si="57"/>
        <v>3.1216127749106159E-2</v>
      </c>
      <c r="AN238">
        <f t="shared" si="58"/>
        <v>-8.0387959462030215E-2</v>
      </c>
    </row>
    <row r="239" spans="1:40">
      <c r="A239" s="37">
        <v>43739</v>
      </c>
      <c r="B239" s="1">
        <v>7.0091159999999997</v>
      </c>
      <c r="C239" s="1">
        <v>26.981725999999998</v>
      </c>
      <c r="D239" s="1">
        <v>105.027985</v>
      </c>
      <c r="E239" s="1">
        <v>57.36721</v>
      </c>
      <c r="F239" s="1">
        <v>56.494761999999994</v>
      </c>
      <c r="G239" s="1">
        <v>12.033538</v>
      </c>
      <c r="H239" s="1">
        <v>160.24137899999999</v>
      </c>
      <c r="I239" s="1">
        <v>106.53991699999999</v>
      </c>
      <c r="J239" s="1">
        <v>126.915359</v>
      </c>
      <c r="K239" s="1">
        <v>27.143125999999999</v>
      </c>
      <c r="L239" s="1">
        <v>107.907715</v>
      </c>
      <c r="M239" s="1">
        <v>29.194604999999999</v>
      </c>
      <c r="N239" s="1">
        <v>43.816676999999999</v>
      </c>
      <c r="O239" s="1">
        <v>43.557696999999997</v>
      </c>
      <c r="P239" s="1">
        <v>59.840992</v>
      </c>
      <c r="Q239" s="1">
        <v>88.832999999999998</v>
      </c>
      <c r="R239" s="1">
        <v>135.91941800000001</v>
      </c>
      <c r="S239" s="1">
        <v>97.612701000000001</v>
      </c>
      <c r="V239" s="37">
        <v>43739</v>
      </c>
      <c r="W239">
        <f t="shared" si="59"/>
        <v>2.0857694465322072E-2</v>
      </c>
      <c r="X239">
        <f t="shared" si="60"/>
        <v>6.5557889069068523E-2</v>
      </c>
      <c r="Y239">
        <f t="shared" si="62"/>
        <v>6.3204240279388299E-2</v>
      </c>
      <c r="Z239">
        <f t="shared" si="63"/>
        <v>4.5365932908363486E-2</v>
      </c>
      <c r="AA239">
        <f t="shared" si="64"/>
        <v>5.0967273744776588E-2</v>
      </c>
      <c r="AB239">
        <f t="shared" si="65"/>
        <v>1.0554086420801613E-2</v>
      </c>
      <c r="AC239">
        <f t="shared" si="66"/>
        <v>-3.4971790900526364E-2</v>
      </c>
      <c r="AD239">
        <f t="shared" si="67"/>
        <v>-1.3414896878509826E-2</v>
      </c>
      <c r="AE239">
        <f t="shared" si="68"/>
        <v>4.2357915088905768E-2</v>
      </c>
      <c r="AF239">
        <f t="shared" si="69"/>
        <v>3.9093139087958591E-3</v>
      </c>
      <c r="AG239">
        <f t="shared" si="70"/>
        <v>2.8132705803287559E-2</v>
      </c>
      <c r="AH239">
        <f t="shared" si="71"/>
        <v>4.5524541263702624E-2</v>
      </c>
      <c r="AI239">
        <f t="shared" si="72"/>
        <v>5.4813147971033968E-2</v>
      </c>
      <c r="AJ239">
        <f t="shared" si="61"/>
        <v>2.3140043423324295E-2</v>
      </c>
      <c r="AK239">
        <f t="shared" si="55"/>
        <v>7.4328563938244913E-2</v>
      </c>
      <c r="AL239">
        <f t="shared" si="56"/>
        <v>1.3587304267558128E-2</v>
      </c>
      <c r="AM239">
        <f t="shared" si="57"/>
        <v>5.5869279840500718E-2</v>
      </c>
      <c r="AN239">
        <f t="shared" si="58"/>
        <v>5.3840432097047803E-3</v>
      </c>
    </row>
    <row r="240" spans="1:40">
      <c r="A240" s="37">
        <v>43770</v>
      </c>
      <c r="B240" s="1">
        <v>7.1553100000000001</v>
      </c>
      <c r="C240" s="1">
        <v>28.750591</v>
      </c>
      <c r="D240" s="1">
        <v>111.66619899999999</v>
      </c>
      <c r="E240" s="1">
        <v>59.969726999999999</v>
      </c>
      <c r="F240" s="1">
        <v>59.374145999999996</v>
      </c>
      <c r="G240" s="1">
        <v>12.160541</v>
      </c>
      <c r="H240" s="1">
        <v>154.637451</v>
      </c>
      <c r="I240" s="1">
        <v>105.11069499999999</v>
      </c>
      <c r="J240" s="1">
        <v>132.29122899999999</v>
      </c>
      <c r="K240" s="1">
        <v>27.249236999999997</v>
      </c>
      <c r="L240" s="1">
        <v>110.943451</v>
      </c>
      <c r="M240" s="1">
        <v>30.523675999999998</v>
      </c>
      <c r="N240" s="1">
        <v>46.218406999999999</v>
      </c>
      <c r="O240" s="1">
        <v>44.565624</v>
      </c>
      <c r="P240" s="1">
        <v>64.288887000000003</v>
      </c>
      <c r="Q240" s="1">
        <v>90.04000099999999</v>
      </c>
      <c r="R240" s="1">
        <v>143.513138</v>
      </c>
      <c r="S240" s="1">
        <v>98.138251999999994</v>
      </c>
      <c r="V240" s="37">
        <v>43770</v>
      </c>
      <c r="W240">
        <f t="shared" si="59"/>
        <v>8.0590079255825314E-2</v>
      </c>
      <c r="X240">
        <f t="shared" si="60"/>
        <v>5.7022793027106798E-2</v>
      </c>
      <c r="Y240">
        <f t="shared" si="62"/>
        <v>5.7984484633528205E-2</v>
      </c>
      <c r="Z240">
        <f t="shared" si="63"/>
        <v>7.1100240292906389E-2</v>
      </c>
      <c r="AA240">
        <f t="shared" si="64"/>
        <v>7.1473701701747208E-3</v>
      </c>
      <c r="AB240">
        <f t="shared" si="65"/>
        <v>0.10966082841215695</v>
      </c>
      <c r="AC240">
        <f t="shared" si="66"/>
        <v>3.1002276414915698E-2</v>
      </c>
      <c r="AD240">
        <f t="shared" si="67"/>
        <v>2.3267432491051454E-2</v>
      </c>
      <c r="AE240">
        <f t="shared" si="68"/>
        <v>5.5300574764484321E-2</v>
      </c>
      <c r="AF240">
        <f t="shared" si="69"/>
        <v>2.6963947651084775E-2</v>
      </c>
      <c r="AG240">
        <f t="shared" si="70"/>
        <v>3.6380227617040663E-2</v>
      </c>
      <c r="AH240">
        <f t="shared" si="71"/>
        <v>-2.4803696645188094E-3</v>
      </c>
      <c r="AI240">
        <f t="shared" si="72"/>
        <v>-2.6646959078447611E-3</v>
      </c>
      <c r="AJ240">
        <f t="shared" si="61"/>
        <v>-2.8892762726715124E-2</v>
      </c>
      <c r="AK240">
        <f t="shared" si="55"/>
        <v>0.10208293075597966</v>
      </c>
      <c r="AL240">
        <f t="shared" si="56"/>
        <v>2.6121690069728139E-2</v>
      </c>
      <c r="AM240">
        <f t="shared" si="57"/>
        <v>4.529414582238455E-2</v>
      </c>
      <c r="AN240">
        <f t="shared" si="58"/>
        <v>8.7254560026196713E-3</v>
      </c>
    </row>
    <row r="241" spans="1:40">
      <c r="A241" s="37">
        <v>43800</v>
      </c>
      <c r="B241" s="1">
        <v>7.7319569999999995</v>
      </c>
      <c r="C241" s="1">
        <v>30.390029999999999</v>
      </c>
      <c r="D241" s="1">
        <v>118.14110599999999</v>
      </c>
      <c r="E241" s="1">
        <v>64.233588999999995</v>
      </c>
      <c r="F241" s="1">
        <v>59.798514999999995</v>
      </c>
      <c r="G241" s="1">
        <v>13.494076</v>
      </c>
      <c r="H241" s="1">
        <v>159.43156399999998</v>
      </c>
      <c r="I241" s="1">
        <v>107.55635099999999</v>
      </c>
      <c r="J241" s="1">
        <v>139.60701</v>
      </c>
      <c r="K241" s="1">
        <v>27.983984</v>
      </c>
      <c r="L241" s="1">
        <v>114.97959899999999</v>
      </c>
      <c r="M241" s="1">
        <v>30.447965999999997</v>
      </c>
      <c r="N241" s="1">
        <v>46.095248999999995</v>
      </c>
      <c r="O241" s="1">
        <v>43.277999999999999</v>
      </c>
      <c r="P241" s="1">
        <v>70.851685000000003</v>
      </c>
      <c r="Q241" s="1">
        <v>92.391998000000001</v>
      </c>
      <c r="R241" s="1">
        <v>150.013443</v>
      </c>
      <c r="S241" s="1">
        <v>98.994552999999996</v>
      </c>
      <c r="V241" s="37">
        <v>43800</v>
      </c>
      <c r="W241">
        <f t="shared" si="59"/>
        <v>-7.5630270577035003E-2</v>
      </c>
      <c r="X241">
        <f t="shared" si="60"/>
        <v>-6.2770224313697665E-2</v>
      </c>
      <c r="Y241">
        <f t="shared" si="62"/>
        <v>-5.0502261253589385E-2</v>
      </c>
      <c r="Z241">
        <f t="shared" si="63"/>
        <v>-6.8594189871595032E-2</v>
      </c>
      <c r="AA241">
        <f t="shared" si="64"/>
        <v>-1.6515878362531149E-2</v>
      </c>
      <c r="AB241">
        <f t="shared" si="65"/>
        <v>-3.8618131393361135E-2</v>
      </c>
      <c r="AC241">
        <f t="shared" si="66"/>
        <v>-8.0754216273008411E-2</v>
      </c>
      <c r="AD241">
        <f t="shared" si="67"/>
        <v>-2.2418016022131052E-3</v>
      </c>
      <c r="AE241">
        <f t="shared" si="68"/>
        <v>-3.8675042177323482E-2</v>
      </c>
      <c r="AF241">
        <f t="shared" si="69"/>
        <v>-4.9515108356265464E-2</v>
      </c>
      <c r="AG241">
        <f t="shared" si="70"/>
        <v>4.3216379629224519E-2</v>
      </c>
      <c r="AH241">
        <f t="shared" si="71"/>
        <v>-4.9737312502252983E-3</v>
      </c>
      <c r="AI241">
        <f t="shared" si="72"/>
        <v>-0.12750934483508269</v>
      </c>
      <c r="AJ241">
        <f t="shared" si="61"/>
        <v>-1.5499607190720429E-2</v>
      </c>
      <c r="AK241">
        <f t="shared" si="55"/>
        <v>5.4010091644256408E-2</v>
      </c>
      <c r="AL241">
        <f t="shared" si="56"/>
        <v>8.70638061101352E-2</v>
      </c>
      <c r="AM241">
        <f t="shared" si="57"/>
        <v>7.9454752598405357E-2</v>
      </c>
      <c r="AN241">
        <f t="shared" si="58"/>
        <v>7.2291714878494395E-2</v>
      </c>
    </row>
    <row r="242" spans="1:40">
      <c r="A242" s="37">
        <v>43831</v>
      </c>
      <c r="B242" s="1">
        <v>7.1471869999999997</v>
      </c>
      <c r="C242" s="1">
        <v>28.482440999999998</v>
      </c>
      <c r="D242" s="1">
        <v>112.174713</v>
      </c>
      <c r="E242" s="1">
        <v>59.827537999999997</v>
      </c>
      <c r="F242" s="1">
        <v>58.810890000000001</v>
      </c>
      <c r="G242" s="1">
        <v>12.972959999999999</v>
      </c>
      <c r="H242" s="1">
        <v>146.556793</v>
      </c>
      <c r="I242" s="1">
        <v>107.315231</v>
      </c>
      <c r="J242" s="1">
        <v>134.20770299999998</v>
      </c>
      <c r="K242" s="1">
        <v>26.598354</v>
      </c>
      <c r="L242" s="1">
        <v>119.948601</v>
      </c>
      <c r="M242" s="1">
        <v>30.296526</v>
      </c>
      <c r="N242" s="1">
        <v>40.217673999999995</v>
      </c>
      <c r="O242" s="1">
        <v>42.607208</v>
      </c>
      <c r="P242" s="1">
        <v>74.678390999999991</v>
      </c>
      <c r="Q242" s="1">
        <v>100.435997</v>
      </c>
      <c r="R242" s="1">
        <v>161.93272399999998</v>
      </c>
      <c r="S242" s="1">
        <v>106.151039</v>
      </c>
      <c r="V242" s="37">
        <v>43831</v>
      </c>
      <c r="W242">
        <f t="shared" si="59"/>
        <v>-0.12500008744699134</v>
      </c>
      <c r="X242">
        <f t="shared" si="60"/>
        <v>-0.13189136422682315</v>
      </c>
      <c r="Y242">
        <f t="shared" si="62"/>
        <v>-0.11713951075586883</v>
      </c>
      <c r="Z242">
        <f t="shared" si="63"/>
        <v>-0.14150329903262948</v>
      </c>
      <c r="AA242">
        <f t="shared" si="64"/>
        <v>-0.1002109813335592</v>
      </c>
      <c r="AB242">
        <f t="shared" si="65"/>
        <v>-0.17053286219952885</v>
      </c>
      <c r="AC242">
        <f t="shared" si="66"/>
        <v>-1.3242511386012779E-2</v>
      </c>
      <c r="AD242">
        <f t="shared" si="67"/>
        <v>-8.5999647151670411E-2</v>
      </c>
      <c r="AE242">
        <f t="shared" si="68"/>
        <v>-9.8098378153450641E-2</v>
      </c>
      <c r="AF242">
        <f t="shared" si="69"/>
        <v>-9.3410479460495938E-2</v>
      </c>
      <c r="AG242">
        <f t="shared" si="70"/>
        <v>-0.15060441596980365</v>
      </c>
      <c r="AH242">
        <f t="shared" si="71"/>
        <v>0.17204474202751832</v>
      </c>
      <c r="AI242">
        <f t="shared" si="72"/>
        <v>-0.12974039721939154</v>
      </c>
      <c r="AJ242">
        <f t="shared" si="61"/>
        <v>-5.6595611709643091E-2</v>
      </c>
      <c r="AK242">
        <f t="shared" si="55"/>
        <v>-0.11679744144460728</v>
      </c>
      <c r="AL242">
        <f t="shared" si="56"/>
        <v>-6.2213720047006656E-2</v>
      </c>
      <c r="AM242">
        <f t="shared" si="57"/>
        <v>-4.8287935920845633E-2</v>
      </c>
      <c r="AN242">
        <f t="shared" si="58"/>
        <v>-9.4482457208920928E-2</v>
      </c>
    </row>
    <row r="243" spans="1:40">
      <c r="A243" s="37">
        <v>43862</v>
      </c>
      <c r="B243" s="1">
        <v>6.2537880000000001</v>
      </c>
      <c r="C243" s="1">
        <v>24.725852999999997</v>
      </c>
      <c r="D243" s="1">
        <v>99.034621999999999</v>
      </c>
      <c r="E243" s="1">
        <v>51.361743999999995</v>
      </c>
      <c r="F243" s="1">
        <v>52.917392999999997</v>
      </c>
      <c r="G243" s="1">
        <v>10.760643999999999</v>
      </c>
      <c r="H243" s="1">
        <v>144.61601299999998</v>
      </c>
      <c r="I243" s="1">
        <v>98.086158999999995</v>
      </c>
      <c r="J243" s="1">
        <v>121.04214499999999</v>
      </c>
      <c r="K243" s="1">
        <v>24.113789000000001</v>
      </c>
      <c r="L243" s="1">
        <v>101.88381199999999</v>
      </c>
      <c r="M243" s="1">
        <v>35.508884000000002</v>
      </c>
      <c r="N243" s="1">
        <v>34.999817</v>
      </c>
      <c r="O243" s="1">
        <v>40.195827000000001</v>
      </c>
      <c r="P243" s="1">
        <v>65.956146000000004</v>
      </c>
      <c r="Q243" s="1">
        <v>94.1875</v>
      </c>
      <c r="R243" s="1">
        <v>154.113327</v>
      </c>
      <c r="S243" s="1">
        <v>96.121628000000001</v>
      </c>
      <c r="V243" s="37">
        <v>43862</v>
      </c>
      <c r="W243">
        <f t="shared" si="59"/>
        <v>-0.3890496447912849</v>
      </c>
      <c r="X243">
        <f t="shared" si="60"/>
        <v>-0.25508774156345582</v>
      </c>
      <c r="Y243">
        <f t="shared" si="62"/>
        <v>-0.22461450905522717</v>
      </c>
      <c r="Z243">
        <f t="shared" si="63"/>
        <v>-0.3362746405184372</v>
      </c>
      <c r="AA243">
        <f t="shared" si="64"/>
        <v>-0.25957569376102863</v>
      </c>
      <c r="AB243">
        <f t="shared" si="65"/>
        <v>-0.62887369938081772</v>
      </c>
      <c r="AC243">
        <f t="shared" si="66"/>
        <v>-0.11707565883454407</v>
      </c>
      <c r="AD243">
        <f t="shared" si="67"/>
        <v>-2.8526216425703903E-2</v>
      </c>
      <c r="AE243">
        <f t="shared" si="68"/>
        <v>-0.30410572284554277</v>
      </c>
      <c r="AF243">
        <f t="shared" si="69"/>
        <v>-2.3339592131290603E-2</v>
      </c>
      <c r="AG243">
        <f t="shared" si="70"/>
        <v>-0.22123180864100378</v>
      </c>
      <c r="AH243">
        <f t="shared" si="71"/>
        <v>-0.18019197674587589</v>
      </c>
      <c r="AI243">
        <f t="shared" si="72"/>
        <v>-0.28993328736547402</v>
      </c>
      <c r="AJ243">
        <f t="shared" si="61"/>
        <v>-0.17864769892655771</v>
      </c>
      <c r="AK243">
        <f t="shared" si="55"/>
        <v>-6.7554038102832864E-2</v>
      </c>
      <c r="AL243">
        <f t="shared" si="56"/>
        <v>3.50205706702056E-2</v>
      </c>
      <c r="AM243">
        <f t="shared" si="57"/>
        <v>-2.3882347306667388E-2</v>
      </c>
      <c r="AN243">
        <f t="shared" si="58"/>
        <v>-0.13877563538561796</v>
      </c>
    </row>
    <row r="244" spans="1:40">
      <c r="A244" s="37">
        <v>43891</v>
      </c>
      <c r="B244" s="1">
        <v>3.820754</v>
      </c>
      <c r="C244" s="1">
        <v>18.418590999999999</v>
      </c>
      <c r="D244" s="1">
        <v>76.790008999999998</v>
      </c>
      <c r="E244" s="1">
        <v>34.090091999999999</v>
      </c>
      <c r="F244" s="1">
        <v>39.181323999999996</v>
      </c>
      <c r="G244" s="1">
        <v>3.9935579999999997</v>
      </c>
      <c r="H244" s="1">
        <v>127.68499799999999</v>
      </c>
      <c r="I244" s="1">
        <v>95.28813199999999</v>
      </c>
      <c r="J244" s="1">
        <v>84.232535999999996</v>
      </c>
      <c r="K244" s="1">
        <v>23.550982999999999</v>
      </c>
      <c r="L244" s="1">
        <v>79.34387199999999</v>
      </c>
      <c r="M244" s="1">
        <v>29.110467999999997</v>
      </c>
      <c r="N244" s="1">
        <v>24.852204999999998</v>
      </c>
      <c r="O244" s="1">
        <v>33.014935000000001</v>
      </c>
      <c r="P244" s="1">
        <v>61.500541999999996</v>
      </c>
      <c r="Q244" s="1">
        <v>97.48599999999999</v>
      </c>
      <c r="R244" s="1">
        <v>150.432739</v>
      </c>
      <c r="S244" s="1">
        <v>82.782287999999994</v>
      </c>
      <c r="V244" s="37">
        <v>43891</v>
      </c>
      <c r="W244">
        <f t="shared" si="59"/>
        <v>0.16777028827294285</v>
      </c>
      <c r="X244">
        <f t="shared" si="60"/>
        <v>0.14005903057405419</v>
      </c>
      <c r="Y244">
        <f t="shared" si="62"/>
        <v>6.3645467211756734E-2</v>
      </c>
      <c r="Z244">
        <f t="shared" si="63"/>
        <v>0.15289641928804407</v>
      </c>
      <c r="AA244">
        <f t="shared" si="64"/>
        <v>1.2733923948052483E-2</v>
      </c>
      <c r="AB244">
        <f t="shared" si="65"/>
        <v>0.24299258956549524</v>
      </c>
      <c r="AC244">
        <f t="shared" si="66"/>
        <v>5.5881451319754971E-2</v>
      </c>
      <c r="AD244">
        <f t="shared" si="67"/>
        <v>7.1545730374901251E-2</v>
      </c>
      <c r="AE244">
        <f t="shared" si="68"/>
        <v>0.10731689237042563</v>
      </c>
      <c r="AF244">
        <f t="shared" si="69"/>
        <v>0.17524525409406477</v>
      </c>
      <c r="AG244">
        <f t="shared" si="70"/>
        <v>6.5880172825445338E-2</v>
      </c>
      <c r="AH244">
        <f t="shared" si="71"/>
        <v>5.8938420364798079E-2</v>
      </c>
      <c r="AI244">
        <f t="shared" si="72"/>
        <v>1.2194974248763852E-2</v>
      </c>
      <c r="AJ244">
        <f t="shared" si="61"/>
        <v>-1.4625986693598049E-2</v>
      </c>
      <c r="AK244">
        <f t="shared" si="55"/>
        <v>0.15537391524126742</v>
      </c>
      <c r="AL244">
        <f t="shared" si="56"/>
        <v>0.268900118991445</v>
      </c>
      <c r="AM244">
        <f t="shared" si="57"/>
        <v>0.13632596957501389</v>
      </c>
      <c r="AN244">
        <f t="shared" si="58"/>
        <v>0.1318849631215798</v>
      </c>
    </row>
    <row r="245" spans="1:40">
      <c r="A245" s="37">
        <v>43922</v>
      </c>
      <c r="B245" s="1">
        <v>4.4617629999999995</v>
      </c>
      <c r="C245" s="1">
        <v>20.998280999999999</v>
      </c>
      <c r="D245" s="1">
        <v>81.677345000000003</v>
      </c>
      <c r="E245" s="1">
        <v>39.302344999999995</v>
      </c>
      <c r="F245" s="1">
        <v>39.680256</v>
      </c>
      <c r="G245" s="1">
        <v>4.9639629999999997</v>
      </c>
      <c r="H245" s="1">
        <v>134.820221</v>
      </c>
      <c r="I245" s="1">
        <v>102.10559099999999</v>
      </c>
      <c r="J245" s="1">
        <v>93.272109999999998</v>
      </c>
      <c r="K245" s="1">
        <v>27.678180999999999</v>
      </c>
      <c r="L245" s="1">
        <v>84.571060000000003</v>
      </c>
      <c r="M245" s="1">
        <v>30.826193</v>
      </c>
      <c r="N245" s="1">
        <v>25.155276999999998</v>
      </c>
      <c r="O245" s="1">
        <v>32.532058999999997</v>
      </c>
      <c r="P245" s="1">
        <v>71.056122000000002</v>
      </c>
      <c r="Q245" s="1">
        <v>123.699997</v>
      </c>
      <c r="R245" s="1">
        <v>170.940628</v>
      </c>
      <c r="S245" s="1">
        <v>93.700026999999992</v>
      </c>
      <c r="V245" s="37">
        <v>43922</v>
      </c>
      <c r="W245">
        <f t="shared" si="59"/>
        <v>6.9942979938647606E-2</v>
      </c>
      <c r="X245">
        <f t="shared" si="60"/>
        <v>2.9107620761909029E-3</v>
      </c>
      <c r="Y245">
        <f t="shared" si="62"/>
        <v>2.6745690619595919E-2</v>
      </c>
      <c r="Z245">
        <f t="shared" si="63"/>
        <v>-1.3385282735673831E-2</v>
      </c>
      <c r="AA245">
        <f t="shared" si="64"/>
        <v>-1.7271788770717663E-2</v>
      </c>
      <c r="AB245">
        <f t="shared" si="65"/>
        <v>8.5324165389629211E-2</v>
      </c>
      <c r="AC245">
        <f t="shared" si="66"/>
        <v>4.866936837316109E-2</v>
      </c>
      <c r="AD245">
        <f t="shared" si="67"/>
        <v>-9.9852220629131731E-3</v>
      </c>
      <c r="AE245">
        <f t="shared" si="68"/>
        <v>0.1383849362901729</v>
      </c>
      <c r="AF245">
        <f t="shared" si="69"/>
        <v>-4.4316496087658279E-3</v>
      </c>
      <c r="AG245">
        <f t="shared" si="70"/>
        <v>4.7650685707380167E-2</v>
      </c>
      <c r="AH245">
        <f t="shared" si="71"/>
        <v>0.20869077151369292</v>
      </c>
      <c r="AI245">
        <f t="shared" si="72"/>
        <v>-8.8812379207750258E-2</v>
      </c>
      <c r="AJ245">
        <f t="shared" si="61"/>
        <v>3.8379187742159163E-2</v>
      </c>
      <c r="AK245">
        <f t="shared" si="55"/>
        <v>8.2164771108673679E-2</v>
      </c>
      <c r="AL245">
        <f t="shared" si="56"/>
        <v>-1.27849396795054E-2</v>
      </c>
      <c r="AM245">
        <f t="shared" si="57"/>
        <v>2.2543365173550208E-2</v>
      </c>
      <c r="AN245">
        <f t="shared" si="58"/>
        <v>-5.2565406411248542E-3</v>
      </c>
    </row>
    <row r="246" spans="1:40">
      <c r="A246" s="37">
        <v>43952</v>
      </c>
      <c r="B246" s="1">
        <v>4.7738319999999996</v>
      </c>
      <c r="C246" s="1">
        <v>21.059401999999999</v>
      </c>
      <c r="D246" s="1">
        <v>83.861862000000002</v>
      </c>
      <c r="E246" s="1">
        <v>38.776271999999999</v>
      </c>
      <c r="F246" s="1">
        <v>38.994906999999998</v>
      </c>
      <c r="G246" s="1">
        <v>5.3875089999999997</v>
      </c>
      <c r="H246" s="1">
        <v>141.38183599999999</v>
      </c>
      <c r="I246" s="1">
        <v>101.086044</v>
      </c>
      <c r="J246" s="1">
        <v>106.179565</v>
      </c>
      <c r="K246" s="1">
        <v>27.555520999999999</v>
      </c>
      <c r="L246" s="1">
        <v>88.600928999999994</v>
      </c>
      <c r="M246" s="1">
        <v>37.259335</v>
      </c>
      <c r="N246" s="1">
        <v>22.921177</v>
      </c>
      <c r="O246" s="1">
        <v>33.780612999999995</v>
      </c>
      <c r="P246" s="1">
        <v>76.894431999999995</v>
      </c>
      <c r="Q246" s="1">
        <v>122.1185</v>
      </c>
      <c r="R246" s="1">
        <v>174.79420500000001</v>
      </c>
      <c r="S246" s="1">
        <v>93.207488999999995</v>
      </c>
      <c r="V246" s="37">
        <v>43952</v>
      </c>
      <c r="W246">
        <f t="shared" si="59"/>
        <v>0</v>
      </c>
      <c r="X246">
        <f t="shared" si="60"/>
        <v>-1.5340084205619801E-2</v>
      </c>
      <c r="Y246">
        <f t="shared" si="62"/>
        <v>-3.339845948090215E-2</v>
      </c>
      <c r="Z246">
        <f t="shared" si="63"/>
        <v>7.790344053703778E-2</v>
      </c>
      <c r="AA246">
        <f t="shared" si="64"/>
        <v>7.5846494517861074E-2</v>
      </c>
      <c r="AB246">
        <f t="shared" si="65"/>
        <v>8.176097710463226E-2</v>
      </c>
      <c r="AC246">
        <f t="shared" si="66"/>
        <v>3.3066178317276956E-2</v>
      </c>
      <c r="AD246">
        <f t="shared" si="67"/>
        <v>3.1487333701574069E-2</v>
      </c>
      <c r="AE246">
        <f t="shared" si="68"/>
        <v>0.11104012339850898</v>
      </c>
      <c r="AF246">
        <f t="shared" si="69"/>
        <v>-0.13522172199175622</v>
      </c>
      <c r="AG246">
        <f t="shared" si="70"/>
        <v>1.3674235853667143E-3</v>
      </c>
      <c r="AH246">
        <f t="shared" si="71"/>
        <v>7.1373764453928012E-2</v>
      </c>
      <c r="AI246">
        <f t="shared" si="72"/>
        <v>-1.3216467897787274E-2</v>
      </c>
      <c r="AJ246">
        <f t="shared" si="61"/>
        <v>4.2289522691610237E-2</v>
      </c>
      <c r="AK246">
        <f t="shared" si="55"/>
        <v>0.15049232693467329</v>
      </c>
      <c r="AL246">
        <f t="shared" si="56"/>
        <v>0.12956672412451833</v>
      </c>
      <c r="AM246">
        <f t="shared" si="57"/>
        <v>0.11365250352550292</v>
      </c>
      <c r="AN246">
        <f t="shared" si="58"/>
        <v>-2.009881416288347E-2</v>
      </c>
    </row>
    <row r="247" spans="1:40">
      <c r="A247" s="37">
        <v>43983</v>
      </c>
      <c r="B247" s="1">
        <v>4.7738319999999996</v>
      </c>
      <c r="C247" s="1">
        <v>20.736349000000001</v>
      </c>
      <c r="D247" s="1">
        <v>81.061004999999994</v>
      </c>
      <c r="E247" s="1">
        <v>41.797077000000002</v>
      </c>
      <c r="F247" s="1">
        <v>41.952534</v>
      </c>
      <c r="G247" s="1">
        <v>5.8279969999999999</v>
      </c>
      <c r="H247" s="1">
        <v>146.056793</v>
      </c>
      <c r="I247" s="1">
        <v>104.268974</v>
      </c>
      <c r="J247" s="1">
        <v>117.969757</v>
      </c>
      <c r="K247" s="1">
        <v>23.829415999999998</v>
      </c>
      <c r="L247" s="1">
        <v>88.722083999999995</v>
      </c>
      <c r="M247" s="1">
        <v>39.918673999999996</v>
      </c>
      <c r="N247" s="1">
        <v>22.61824</v>
      </c>
      <c r="O247" s="1">
        <v>35.209178999999999</v>
      </c>
      <c r="P247" s="1">
        <v>88.466453999999999</v>
      </c>
      <c r="Q247" s="1">
        <v>137.94099399999999</v>
      </c>
      <c r="R247" s="1">
        <v>194.66000399999999</v>
      </c>
      <c r="S247" s="1">
        <v>91.33412899999999</v>
      </c>
      <c r="V247" s="37">
        <v>43983</v>
      </c>
      <c r="W247">
        <f t="shared" si="59"/>
        <v>-7.4204957359203294E-2</v>
      </c>
      <c r="X247">
        <f t="shared" si="60"/>
        <v>5.4885119844385218E-2</v>
      </c>
      <c r="Y247">
        <f t="shared" si="62"/>
        <v>2.7429242951034296E-2</v>
      </c>
      <c r="Z247">
        <f t="shared" si="63"/>
        <v>-2.1330845695262422E-2</v>
      </c>
      <c r="AA247">
        <f t="shared" si="64"/>
        <v>4.6559857385491794E-2</v>
      </c>
      <c r="AB247">
        <f t="shared" si="65"/>
        <v>-0.11918605997909744</v>
      </c>
      <c r="AC247">
        <f t="shared" si="66"/>
        <v>0.12767183653005437</v>
      </c>
      <c r="AD247">
        <f t="shared" si="67"/>
        <v>9.6596174428646445E-2</v>
      </c>
      <c r="AE247">
        <f t="shared" si="68"/>
        <v>0.106098404525831</v>
      </c>
      <c r="AF247">
        <f t="shared" si="69"/>
        <v>0.17675808756706418</v>
      </c>
      <c r="AG247">
        <f t="shared" si="70"/>
        <v>-1.9747901773813213E-2</v>
      </c>
      <c r="AH247">
        <f t="shared" si="71"/>
        <v>9.778716597650515E-2</v>
      </c>
      <c r="AI247">
        <f t="shared" si="72"/>
        <v>-5.2343727893947541E-2</v>
      </c>
      <c r="AJ247">
        <f t="shared" si="61"/>
        <v>-7.3972755797572223E-3</v>
      </c>
      <c r="AK247">
        <f t="shared" si="55"/>
        <v>0.16513156501107187</v>
      </c>
      <c r="AL247">
        <f t="shared" si="56"/>
        <v>0.14711362743986031</v>
      </c>
      <c r="AM247">
        <f t="shared" si="57"/>
        <v>7.3706358292276175E-3</v>
      </c>
      <c r="AN247">
        <f t="shared" si="58"/>
        <v>1.7968157335797312E-2</v>
      </c>
    </row>
    <row r="248" spans="1:40">
      <c r="A248" s="37">
        <v>44013</v>
      </c>
      <c r="B248" s="1">
        <v>4.4195899999999995</v>
      </c>
      <c r="C248" s="1">
        <v>21.874465999999998</v>
      </c>
      <c r="D248" s="1">
        <v>83.284447</v>
      </c>
      <c r="E248" s="1">
        <v>40.90551</v>
      </c>
      <c r="F248" s="1">
        <v>43.905837999999996</v>
      </c>
      <c r="G248" s="1">
        <v>5.133381</v>
      </c>
      <c r="H248" s="1">
        <v>164.70413199999999</v>
      </c>
      <c r="I248" s="1">
        <v>114.340958</v>
      </c>
      <c r="J248" s="1">
        <v>130.48615999999998</v>
      </c>
      <c r="K248" s="1">
        <v>28.041457999999999</v>
      </c>
      <c r="L248" s="1">
        <v>86.97000899999999</v>
      </c>
      <c r="M248" s="1">
        <v>43.822207999999996</v>
      </c>
      <c r="N248" s="1">
        <v>21.434317</v>
      </c>
      <c r="O248" s="1">
        <v>34.948726999999998</v>
      </c>
      <c r="P248" s="1">
        <v>103.075058</v>
      </c>
      <c r="Q248" s="1">
        <v>158.233994</v>
      </c>
      <c r="R248" s="1">
        <v>196.09477199999998</v>
      </c>
      <c r="S248" s="1">
        <v>92.975234999999998</v>
      </c>
      <c r="V248" s="37">
        <v>44013</v>
      </c>
      <c r="W248">
        <f t="shared" si="59"/>
        <v>0.11068719044074227</v>
      </c>
      <c r="X248">
        <f t="shared" si="60"/>
        <v>3.456573522754796E-2</v>
      </c>
      <c r="Y248">
        <f t="shared" si="62"/>
        <v>4.6837100329188697E-2</v>
      </c>
      <c r="Z248">
        <f t="shared" si="63"/>
        <v>3.2547571219623012E-2</v>
      </c>
      <c r="AA248">
        <f t="shared" si="64"/>
        <v>0.16137933638802207</v>
      </c>
      <c r="AB248">
        <f t="shared" si="65"/>
        <v>0.15016496924736347</v>
      </c>
      <c r="AC248">
        <f t="shared" si="66"/>
        <v>0.19142444465206263</v>
      </c>
      <c r="AD248">
        <f t="shared" si="67"/>
        <v>6.1645311735100128E-2</v>
      </c>
      <c r="AE248">
        <f t="shared" si="68"/>
        <v>5.2047811047547292E-2</v>
      </c>
      <c r="AF248">
        <f t="shared" si="69"/>
        <v>-8.3327692875313393E-3</v>
      </c>
      <c r="AG248">
        <f t="shared" si="70"/>
        <v>9.3559160146804224E-2</v>
      </c>
      <c r="AH248">
        <f t="shared" si="71"/>
        <v>-5.9589831712724195E-2</v>
      </c>
      <c r="AI248">
        <f t="shared" si="72"/>
        <v>-4.5342709077224241E-3</v>
      </c>
      <c r="AJ248">
        <f t="shared" si="61"/>
        <v>0.14097188718776515</v>
      </c>
      <c r="AK248">
        <f t="shared" si="55"/>
        <v>0.21437946704817756</v>
      </c>
      <c r="AL248">
        <f t="shared" si="56"/>
        <v>9.0461029505455051E-2</v>
      </c>
      <c r="AM248">
        <f t="shared" si="57"/>
        <v>0.10009262256109518</v>
      </c>
      <c r="AN248">
        <f t="shared" si="58"/>
        <v>3.0098229921117761E-3</v>
      </c>
    </row>
    <row r="249" spans="1:40">
      <c r="A249" s="37">
        <v>44044</v>
      </c>
      <c r="B249" s="1">
        <v>4.9087819999999995</v>
      </c>
      <c r="C249" s="1">
        <v>22.630572999999998</v>
      </c>
      <c r="D249" s="1">
        <v>87.185248999999999</v>
      </c>
      <c r="E249" s="1">
        <v>42.236885000000001</v>
      </c>
      <c r="F249" s="1">
        <v>50.991332999999997</v>
      </c>
      <c r="G249" s="1">
        <v>5.9042349999999999</v>
      </c>
      <c r="H249" s="1">
        <v>196.232529</v>
      </c>
      <c r="I249" s="1">
        <v>121.38954199999999</v>
      </c>
      <c r="J249" s="1">
        <v>137.27767900000001</v>
      </c>
      <c r="K249" s="1">
        <v>27.807794999999999</v>
      </c>
      <c r="L249" s="1">
        <v>95.106849999999994</v>
      </c>
      <c r="M249" s="1">
        <v>41.210850000000001</v>
      </c>
      <c r="N249" s="1">
        <v>21.337128</v>
      </c>
      <c r="O249" s="1">
        <v>39.875515</v>
      </c>
      <c r="P249" s="1">
        <v>125.17223399999999</v>
      </c>
      <c r="Q249" s="1">
        <v>172.54800399999999</v>
      </c>
      <c r="R249" s="1">
        <v>215.72241199999999</v>
      </c>
      <c r="S249" s="1">
        <v>93.255073999999993</v>
      </c>
      <c r="V249" s="37">
        <v>44044</v>
      </c>
      <c r="W249">
        <f t="shared" si="59"/>
        <v>-0.13917485029891327</v>
      </c>
      <c r="X249">
        <f t="shared" si="60"/>
        <v>-6.4102707430342104E-2</v>
      </c>
      <c r="Y249">
        <f t="shared" si="62"/>
        <v>-3.9125896170807584E-2</v>
      </c>
      <c r="Z249">
        <f t="shared" si="63"/>
        <v>-0.15668986952991454</v>
      </c>
      <c r="AA249">
        <f t="shared" si="64"/>
        <v>-8.1170284369698698E-2</v>
      </c>
      <c r="AB249">
        <f t="shared" si="65"/>
        <v>-0.18220954958601754</v>
      </c>
      <c r="AC249">
        <f t="shared" si="66"/>
        <v>5.5079451174988421E-2</v>
      </c>
      <c r="AD249">
        <f t="shared" si="67"/>
        <v>4.7709793649275498E-3</v>
      </c>
      <c r="AE249">
        <f t="shared" si="68"/>
        <v>9.8503559344121881E-3</v>
      </c>
      <c r="AF249">
        <f t="shared" si="69"/>
        <v>-2.8843603025698394E-2</v>
      </c>
      <c r="AG249">
        <f t="shared" si="70"/>
        <v>-1.319036431129823E-2</v>
      </c>
      <c r="AH249">
        <f t="shared" si="71"/>
        <v>-1.2462446176189176E-2</v>
      </c>
      <c r="AI249">
        <f t="shared" si="72"/>
        <v>-2.2494920590999952E-2</v>
      </c>
      <c r="AJ249">
        <f t="shared" si="61"/>
        <v>-7.2603250390621876E-2</v>
      </c>
      <c r="AK249">
        <f t="shared" si="55"/>
        <v>-0.10090808157981741</v>
      </c>
      <c r="AL249">
        <f t="shared" si="56"/>
        <v>-8.7578590593258954E-2</v>
      </c>
      <c r="AM249">
        <f t="shared" si="57"/>
        <v>-6.5142248641276962E-2</v>
      </c>
      <c r="AN249">
        <f t="shared" si="58"/>
        <v>-3.807621234635768E-4</v>
      </c>
    </row>
    <row r="250" spans="1:40">
      <c r="A250" s="37">
        <v>44075</v>
      </c>
      <c r="B250" s="1">
        <v>4.2256029999999996</v>
      </c>
      <c r="C250" s="1">
        <v>21.179891999999999</v>
      </c>
      <c r="D250" s="1">
        <v>83.774047999999993</v>
      </c>
      <c r="E250" s="1">
        <v>35.618792999999997</v>
      </c>
      <c r="F250" s="1">
        <v>46.852351999999996</v>
      </c>
      <c r="G250" s="1">
        <v>4.8284269999999996</v>
      </c>
      <c r="H250" s="1">
        <v>207.040909</v>
      </c>
      <c r="I250" s="1">
        <v>121.968689</v>
      </c>
      <c r="J250" s="1">
        <v>138.62991299999999</v>
      </c>
      <c r="K250" s="1">
        <v>27.005717999999998</v>
      </c>
      <c r="L250" s="1">
        <v>93.852356</v>
      </c>
      <c r="M250" s="1">
        <v>40.697261999999995</v>
      </c>
      <c r="N250" s="1">
        <v>20.857150999999998</v>
      </c>
      <c r="O250" s="1">
        <v>36.980423000000002</v>
      </c>
      <c r="P250" s="1">
        <v>112.541344</v>
      </c>
      <c r="Q250" s="1">
        <v>157.43649299999998</v>
      </c>
      <c r="R250" s="1">
        <v>201.669769</v>
      </c>
      <c r="S250" s="1">
        <v>93.219566</v>
      </c>
      <c r="V250" s="37">
        <v>44075</v>
      </c>
      <c r="W250">
        <f t="shared" si="59"/>
        <v>0.10379205050734784</v>
      </c>
      <c r="X250">
        <f t="shared" si="60"/>
        <v>-9.3359777283095469E-3</v>
      </c>
      <c r="Y250">
        <f t="shared" si="62"/>
        <v>1.8386063903704501E-2</v>
      </c>
      <c r="Z250">
        <f t="shared" si="63"/>
        <v>-3.9202535582831197E-2</v>
      </c>
      <c r="AA250">
        <f t="shared" si="64"/>
        <v>1.8147520107421707E-2</v>
      </c>
      <c r="AB250">
        <f t="shared" si="65"/>
        <v>8.9473859706277067E-2</v>
      </c>
      <c r="AC250">
        <f t="shared" si="66"/>
        <v>2.2814529856995475E-2</v>
      </c>
      <c r="AD250">
        <f t="shared" si="67"/>
        <v>-1.3598006288318771E-2</v>
      </c>
      <c r="AE250">
        <f t="shared" si="68"/>
        <v>2.46608536788161E-2</v>
      </c>
      <c r="AF250">
        <f t="shared" si="69"/>
        <v>-3.3242552558683976E-2</v>
      </c>
      <c r="AG250">
        <f t="shared" si="70"/>
        <v>-8.9875101270766172E-2</v>
      </c>
      <c r="AH250">
        <f t="shared" si="71"/>
        <v>-7.3147942974640348E-2</v>
      </c>
      <c r="AI250">
        <f t="shared" si="72"/>
        <v>-8.762227401048206E-2</v>
      </c>
      <c r="AJ250">
        <f t="shared" si="61"/>
        <v>-4.346899980024576E-2</v>
      </c>
      <c r="AK250">
        <f t="shared" si="55"/>
        <v>-6.0011989904794401E-2</v>
      </c>
      <c r="AL250">
        <f t="shared" si="56"/>
        <v>-3.5754086570005061E-2</v>
      </c>
      <c r="AM250">
        <f t="shared" si="57"/>
        <v>-3.7370112721257773E-2</v>
      </c>
      <c r="AN250">
        <f t="shared" si="58"/>
        <v>-8.2271805470538237E-2</v>
      </c>
    </row>
    <row r="251" spans="1:40">
      <c r="A251" s="37">
        <v>44105</v>
      </c>
      <c r="B251" s="1">
        <v>4.6641870000000001</v>
      </c>
      <c r="C251" s="1">
        <v>20.982156999999997</v>
      </c>
      <c r="D251" s="1">
        <v>85.314323000000002</v>
      </c>
      <c r="E251" s="1">
        <v>34.222445999999998</v>
      </c>
      <c r="F251" s="1">
        <v>47.702605999999996</v>
      </c>
      <c r="G251" s="1">
        <v>5.2604449999999998</v>
      </c>
      <c r="H251" s="1">
        <v>211.76444999999998</v>
      </c>
      <c r="I251" s="1">
        <v>120.310158</v>
      </c>
      <c r="J251" s="1">
        <v>142.04864499999999</v>
      </c>
      <c r="K251" s="1">
        <v>26.107979</v>
      </c>
      <c r="L251" s="1">
        <v>85.417366000000001</v>
      </c>
      <c r="M251" s="1">
        <v>37.720340999999998</v>
      </c>
      <c r="N251" s="1">
        <v>19.029599999999999</v>
      </c>
      <c r="O251" s="1">
        <v>35.372920999999998</v>
      </c>
      <c r="P251" s="1">
        <v>105.787514</v>
      </c>
      <c r="Q251" s="1">
        <v>151.80749499999999</v>
      </c>
      <c r="R251" s="1">
        <v>194.13334699999999</v>
      </c>
      <c r="S251" s="1">
        <v>85.550224</v>
      </c>
      <c r="V251" s="37">
        <v>44105</v>
      </c>
      <c r="W251">
        <f t="shared" si="59"/>
        <v>0.28752234848216834</v>
      </c>
      <c r="X251">
        <f t="shared" si="60"/>
        <v>0.18818575230373127</v>
      </c>
      <c r="Y251">
        <f t="shared" si="62"/>
        <v>0.2135233376932498</v>
      </c>
      <c r="Z251">
        <f t="shared" si="63"/>
        <v>0.34602929901620705</v>
      </c>
      <c r="AA251">
        <f t="shared" si="64"/>
        <v>0.23899308561884441</v>
      </c>
      <c r="AB251">
        <f t="shared" si="65"/>
        <v>0.6441221227481706</v>
      </c>
      <c r="AC251">
        <f t="shared" si="66"/>
        <v>0.15807185294793352</v>
      </c>
      <c r="AD251">
        <f t="shared" si="67"/>
        <v>1.8534436635017901E-2</v>
      </c>
      <c r="AE251">
        <f t="shared" si="68"/>
        <v>0.10896522807380529</v>
      </c>
      <c r="AF251">
        <f t="shared" si="69"/>
        <v>0.13807058753954093</v>
      </c>
      <c r="AG251">
        <f t="shared" si="70"/>
        <v>0.30518733157845207</v>
      </c>
      <c r="AH251">
        <f t="shared" si="71"/>
        <v>8.3362104282143148E-2</v>
      </c>
      <c r="AI251">
        <f t="shared" si="72"/>
        <v>0.27505827763063873</v>
      </c>
      <c r="AJ251">
        <f t="shared" si="61"/>
        <v>0.23014378710765793</v>
      </c>
      <c r="AK251">
        <f t="shared" si="55"/>
        <v>9.3606339969384181E-2</v>
      </c>
      <c r="AL251">
        <f t="shared" si="56"/>
        <v>4.343987100241669E-2</v>
      </c>
      <c r="AM251">
        <f t="shared" si="57"/>
        <v>5.7292526873293934E-2</v>
      </c>
      <c r="AN251">
        <f t="shared" si="58"/>
        <v>0.10621543200167423</v>
      </c>
    </row>
    <row r="252" spans="1:40">
      <c r="A252" s="37">
        <v>44136</v>
      </c>
      <c r="B252" s="1">
        <v>6.0052449999999995</v>
      </c>
      <c r="C252" s="1">
        <v>24.930699999999998</v>
      </c>
      <c r="D252" s="1">
        <v>103.53092199999999</v>
      </c>
      <c r="E252" s="1">
        <v>46.064414999999997</v>
      </c>
      <c r="F252" s="1">
        <v>59.103198999999996</v>
      </c>
      <c r="G252" s="1">
        <v>8.6488139999999998</v>
      </c>
      <c r="H252" s="1">
        <v>245.238449</v>
      </c>
      <c r="I252" s="1">
        <v>122.54003899999999</v>
      </c>
      <c r="J252" s="1">
        <v>157.527008</v>
      </c>
      <c r="K252" s="1">
        <v>29.712722999999997</v>
      </c>
      <c r="L252" s="1">
        <v>111.485664</v>
      </c>
      <c r="M252" s="1">
        <v>40.864787999999997</v>
      </c>
      <c r="N252" s="1">
        <v>24.263849</v>
      </c>
      <c r="O252" s="1">
        <v>43.513779</v>
      </c>
      <c r="P252" s="1">
        <v>115.68989599999999</v>
      </c>
      <c r="Q252" s="1">
        <v>158.401993</v>
      </c>
      <c r="R252" s="1">
        <v>205.25573699999998</v>
      </c>
      <c r="S252" s="1">
        <v>94.636977999999999</v>
      </c>
      <c r="V252" s="37">
        <v>44136</v>
      </c>
      <c r="W252">
        <f t="shared" si="59"/>
        <v>0.12219118453951515</v>
      </c>
      <c r="X252">
        <f t="shared" si="60"/>
        <v>7.6349360427103913E-2</v>
      </c>
      <c r="Y252">
        <f t="shared" si="62"/>
        <v>7.79605440005645E-2</v>
      </c>
      <c r="Z252">
        <f t="shared" si="63"/>
        <v>0.11966592867835182</v>
      </c>
      <c r="AA252">
        <f t="shared" si="64"/>
        <v>4.5517079371625871E-2</v>
      </c>
      <c r="AB252">
        <f t="shared" si="65"/>
        <v>0.10186101816965884</v>
      </c>
      <c r="AC252">
        <f t="shared" si="66"/>
        <v>2.8399918644078426E-2</v>
      </c>
      <c r="AD252">
        <f t="shared" si="67"/>
        <v>1.9438952520653904E-3</v>
      </c>
      <c r="AE252">
        <f t="shared" si="68"/>
        <v>-2.7571151481528763E-2</v>
      </c>
      <c r="AF252">
        <f t="shared" si="69"/>
        <v>-2.9273049124444006E-2</v>
      </c>
      <c r="AG252">
        <f t="shared" si="70"/>
        <v>1.9563331479103808E-2</v>
      </c>
      <c r="AH252">
        <f t="shared" si="71"/>
        <v>0.20647854578371977</v>
      </c>
      <c r="AI252">
        <f t="shared" si="72"/>
        <v>0.10853995176115702</v>
      </c>
      <c r="AJ252">
        <f t="shared" si="61"/>
        <v>5.0065244850372566E-2</v>
      </c>
      <c r="AK252">
        <f t="shared" si="55"/>
        <v>0.11649671635974153</v>
      </c>
      <c r="AL252">
        <f t="shared" si="56"/>
        <v>2.8058384341161632E-2</v>
      </c>
      <c r="AM252">
        <f t="shared" si="57"/>
        <v>4.1726288020880027E-2</v>
      </c>
      <c r="AN252">
        <f t="shared" si="58"/>
        <v>3.3883605201341087E-2</v>
      </c>
    </row>
    <row r="253" spans="1:40">
      <c r="A253" s="37">
        <v>44166</v>
      </c>
      <c r="B253" s="1">
        <v>6.7390330000000001</v>
      </c>
      <c r="C253" s="1">
        <v>26.834142999999997</v>
      </c>
      <c r="D253" s="1">
        <v>111.602249</v>
      </c>
      <c r="E253" s="1">
        <v>51.576755999999996</v>
      </c>
      <c r="F253" s="1">
        <v>61.793403999999995</v>
      </c>
      <c r="G253" s="1">
        <v>9.5297909999999995</v>
      </c>
      <c r="H253" s="1">
        <v>252.20320099999998</v>
      </c>
      <c r="I253" s="1">
        <v>122.778244</v>
      </c>
      <c r="J253" s="1">
        <v>153.183807</v>
      </c>
      <c r="K253" s="1">
        <v>28.842941</v>
      </c>
      <c r="L253" s="1">
        <v>113.66669499999999</v>
      </c>
      <c r="M253" s="1">
        <v>49.302489999999999</v>
      </c>
      <c r="N253" s="1">
        <v>26.897445999999999</v>
      </c>
      <c r="O253" s="1">
        <v>45.692307</v>
      </c>
      <c r="P253" s="1">
        <v>129.16738899999999</v>
      </c>
      <c r="Q253" s="1">
        <v>162.846497</v>
      </c>
      <c r="R253" s="1">
        <v>213.82029699999998</v>
      </c>
      <c r="S253" s="1">
        <v>97.843620000000001</v>
      </c>
      <c r="V253" s="37">
        <v>44166</v>
      </c>
      <c r="W253">
        <f t="shared" si="59"/>
        <v>-8.8861117017827437E-2</v>
      </c>
      <c r="X253">
        <f t="shared" si="60"/>
        <v>-1.5677862341271664E-2</v>
      </c>
      <c r="Y253">
        <f t="shared" si="62"/>
        <v>1.2591601088612405E-2</v>
      </c>
      <c r="Z253">
        <f t="shared" si="63"/>
        <v>-5.9519989973778123E-2</v>
      </c>
      <c r="AA253">
        <f t="shared" si="64"/>
        <v>-2.2622770546836948E-2</v>
      </c>
      <c r="AB253">
        <f t="shared" si="65"/>
        <v>0.33688902516330116</v>
      </c>
      <c r="AC253">
        <f t="shared" si="66"/>
        <v>7.648967151689734E-2</v>
      </c>
      <c r="AD253">
        <f t="shared" si="67"/>
        <v>-7.8553689039566429E-2</v>
      </c>
      <c r="AE253">
        <f t="shared" si="68"/>
        <v>-2.8393810580775159E-2</v>
      </c>
      <c r="AF253">
        <f t="shared" si="69"/>
        <v>-2.4721508115278554E-2</v>
      </c>
      <c r="AG253">
        <f t="shared" si="70"/>
        <v>-3.8458450824139775E-2</v>
      </c>
      <c r="AH253">
        <f t="shared" si="71"/>
        <v>-4.2109577021363434E-2</v>
      </c>
      <c r="AI253">
        <f t="shared" si="72"/>
        <v>-9.9404976963240396E-3</v>
      </c>
      <c r="AJ253">
        <f t="shared" si="61"/>
        <v>3.0130236146753307E-3</v>
      </c>
      <c r="AK253">
        <f t="shared" si="55"/>
        <v>-5.5016363302040888E-3</v>
      </c>
      <c r="AL253">
        <f t="shared" si="56"/>
        <v>-1.5576012052626594E-2</v>
      </c>
      <c r="AM253">
        <f t="shared" si="57"/>
        <v>4.2891681139138979E-2</v>
      </c>
      <c r="AN253">
        <f t="shared" si="58"/>
        <v>-5.3781186754946322E-2</v>
      </c>
    </row>
    <row r="254" spans="1:40">
      <c r="A254" s="37">
        <v>44197</v>
      </c>
      <c r="B254" s="1">
        <v>6.1401949999999994</v>
      </c>
      <c r="C254" s="1">
        <v>26.413440999999999</v>
      </c>
      <c r="D254" s="1">
        <v>113.00749999999999</v>
      </c>
      <c r="E254" s="1">
        <v>48.506907999999996</v>
      </c>
      <c r="F254" s="1">
        <v>60.395465999999999</v>
      </c>
      <c r="G254" s="1">
        <v>12.740273</v>
      </c>
      <c r="H254" s="1">
        <v>271.49414100000001</v>
      </c>
      <c r="I254" s="1">
        <v>113.13355999999999</v>
      </c>
      <c r="J254" s="1">
        <v>148.83433499999998</v>
      </c>
      <c r="K254" s="1">
        <v>28.129899999999999</v>
      </c>
      <c r="L254" s="1">
        <v>109.29525</v>
      </c>
      <c r="M254" s="1">
        <v>47.226382999999998</v>
      </c>
      <c r="N254" s="1">
        <v>26.630071999999998</v>
      </c>
      <c r="O254" s="1">
        <v>45.829978999999994</v>
      </c>
      <c r="P254" s="1">
        <v>128.45675699999998</v>
      </c>
      <c r="Q254" s="1">
        <v>160.30999799999998</v>
      </c>
      <c r="R254" s="1">
        <v>222.99140899999998</v>
      </c>
      <c r="S254" s="1">
        <v>92.581474</v>
      </c>
      <c r="V254" s="37">
        <v>44197</v>
      </c>
      <c r="W254">
        <f t="shared" si="59"/>
        <v>0.21291196777952492</v>
      </c>
      <c r="X254">
        <f t="shared" si="60"/>
        <v>0.17065728013249018</v>
      </c>
      <c r="Y254">
        <f t="shared" si="62"/>
        <v>0.15201545030197117</v>
      </c>
      <c r="Z254">
        <f t="shared" si="63"/>
        <v>0.1457419013390836</v>
      </c>
      <c r="AA254">
        <f t="shared" si="64"/>
        <v>0.1091213535797538</v>
      </c>
      <c r="AB254">
        <f t="shared" si="65"/>
        <v>1.1303289968747014E-2</v>
      </c>
      <c r="AC254">
        <f t="shared" si="66"/>
        <v>0.20886456256895783</v>
      </c>
      <c r="AD254">
        <f t="shared" si="67"/>
        <v>-3.0690875457291336E-2</v>
      </c>
      <c r="AE254">
        <f t="shared" si="68"/>
        <v>7.7816251203057761E-3</v>
      </c>
      <c r="AF254">
        <f t="shared" si="69"/>
        <v>-5.6982250203520095E-2</v>
      </c>
      <c r="AG254">
        <f t="shared" si="70"/>
        <v>0.16750641038837458</v>
      </c>
      <c r="AH254">
        <f t="shared" si="71"/>
        <v>3.3121359304607377E-2</v>
      </c>
      <c r="AI254">
        <f t="shared" si="72"/>
        <v>0.2105087436489094</v>
      </c>
      <c r="AJ254">
        <f t="shared" si="61"/>
        <v>7.8230299865509445E-2</v>
      </c>
      <c r="AK254">
        <f t="shared" si="55"/>
        <v>-8.1085185732969994E-2</v>
      </c>
      <c r="AL254">
        <f t="shared" si="56"/>
        <v>-3.5328414139210312E-2</v>
      </c>
      <c r="AM254">
        <f t="shared" si="57"/>
        <v>1.8106661678613204E-3</v>
      </c>
      <c r="AN254">
        <f t="shared" si="58"/>
        <v>-1.5113498841032736E-3</v>
      </c>
    </row>
    <row r="255" spans="1:40">
      <c r="A255" s="37">
        <v>44228</v>
      </c>
      <c r="B255" s="1">
        <v>7.4475159999999994</v>
      </c>
      <c r="C255" s="1">
        <v>30.921087</v>
      </c>
      <c r="D255" s="1">
        <v>130.186386</v>
      </c>
      <c r="E255" s="1">
        <v>55.576397</v>
      </c>
      <c r="F255" s="1">
        <v>66.985900999999998</v>
      </c>
      <c r="G255" s="1">
        <v>12.884279999999999</v>
      </c>
      <c r="H255" s="1">
        <v>328.19964599999997</v>
      </c>
      <c r="I255" s="1">
        <v>109.66139199999999</v>
      </c>
      <c r="J255" s="1">
        <v>149.99250799999999</v>
      </c>
      <c r="K255" s="1">
        <v>26.526994999999999</v>
      </c>
      <c r="L255" s="1">
        <v>127.60290499999999</v>
      </c>
      <c r="M255" s="1">
        <v>48.790585</v>
      </c>
      <c r="N255" s="1">
        <v>32.235934999999998</v>
      </c>
      <c r="O255" s="1">
        <v>49.415271999999995</v>
      </c>
      <c r="P255" s="1">
        <v>118.04081699999999</v>
      </c>
      <c r="Q255" s="1">
        <v>154.6465</v>
      </c>
      <c r="R255" s="1">
        <v>223.395172</v>
      </c>
      <c r="S255" s="1">
        <v>92.44155099999999</v>
      </c>
      <c r="V255" s="37">
        <v>44228</v>
      </c>
      <c r="W255">
        <f t="shared" si="59"/>
        <v>0.16547275628545144</v>
      </c>
      <c r="X255">
        <f t="shared" si="60"/>
        <v>0.11466446829634414</v>
      </c>
      <c r="Y255">
        <f t="shared" si="62"/>
        <v>3.438228172337459E-2</v>
      </c>
      <c r="Z255">
        <f t="shared" si="63"/>
        <v>0.10428067152320075</v>
      </c>
      <c r="AA255">
        <f t="shared" si="64"/>
        <v>9.3094336373858708E-2</v>
      </c>
      <c r="AB255">
        <f t="shared" si="65"/>
        <v>6.4431229374090099E-2</v>
      </c>
      <c r="AC255">
        <f t="shared" si="66"/>
        <v>7.1665708012372514E-2</v>
      </c>
      <c r="AD255">
        <f t="shared" si="67"/>
        <v>9.6332791398453244E-2</v>
      </c>
      <c r="AE255">
        <f t="shared" si="68"/>
        <v>0.14201555320349749</v>
      </c>
      <c r="AF255">
        <f t="shared" si="69"/>
        <v>8.1815260266004511E-2</v>
      </c>
      <c r="AG255">
        <f t="shared" si="70"/>
        <v>4.5689947262564361E-2</v>
      </c>
      <c r="AH255">
        <f t="shared" si="71"/>
        <v>-1.0748508139429059E-2</v>
      </c>
      <c r="AI255">
        <f t="shared" si="72"/>
        <v>8.3595248594464627E-2</v>
      </c>
      <c r="AJ255">
        <f t="shared" si="61"/>
        <v>8.0172117640068916E-2</v>
      </c>
      <c r="AK255">
        <f t="shared" si="55"/>
        <v>8.84516920956256E-3</v>
      </c>
      <c r="AL255">
        <f t="shared" si="56"/>
        <v>3.7178338986002755E-4</v>
      </c>
      <c r="AM255">
        <f t="shared" si="57"/>
        <v>1.6924985290192363E-2</v>
      </c>
      <c r="AN255">
        <f t="shared" si="58"/>
        <v>0.13546405122518992</v>
      </c>
    </row>
    <row r="256" spans="1:40">
      <c r="A256" s="37">
        <v>44256</v>
      </c>
      <c r="B256" s="1">
        <v>8.6798769999999994</v>
      </c>
      <c r="C256" s="1">
        <v>34.466636999999999</v>
      </c>
      <c r="D256" s="1">
        <v>134.66249099999999</v>
      </c>
      <c r="E256" s="1">
        <v>61.371941</v>
      </c>
      <c r="F256" s="1">
        <v>73.221908999999997</v>
      </c>
      <c r="G256" s="1">
        <v>13.71443</v>
      </c>
      <c r="H256" s="1">
        <v>351.72030599999999</v>
      </c>
      <c r="I256" s="1">
        <v>120.22538</v>
      </c>
      <c r="J256" s="1">
        <v>171.29377700000001</v>
      </c>
      <c r="K256" s="1">
        <v>28.697308</v>
      </c>
      <c r="L256" s="1">
        <v>133.433075</v>
      </c>
      <c r="M256" s="1">
        <v>48.266158999999995</v>
      </c>
      <c r="N256" s="1">
        <v>34.930706000000001</v>
      </c>
      <c r="O256" s="1">
        <v>53.376998999999998</v>
      </c>
      <c r="P256" s="1">
        <v>119.084908</v>
      </c>
      <c r="Q256" s="1">
        <v>154.70399499999999</v>
      </c>
      <c r="R256" s="1">
        <v>227.176132</v>
      </c>
      <c r="S256" s="1">
        <v>104.96405799999999</v>
      </c>
      <c r="V256" s="37">
        <v>44256</v>
      </c>
      <c r="W256">
        <f t="shared" si="59"/>
        <v>-6.4516006390413161E-2</v>
      </c>
      <c r="X256">
        <f t="shared" si="60"/>
        <v>5.2760616012522445E-2</v>
      </c>
      <c r="Y256">
        <f t="shared" si="62"/>
        <v>1.0378866376384008E-2</v>
      </c>
      <c r="Z256">
        <f t="shared" si="63"/>
        <v>-2.0756227996764891E-2</v>
      </c>
      <c r="AA256">
        <f t="shared" si="64"/>
        <v>5.8572878781404158E-2</v>
      </c>
      <c r="AB256">
        <f t="shared" si="65"/>
        <v>2.4089006980238987E-2</v>
      </c>
      <c r="AC256">
        <f t="shared" si="66"/>
        <v>-6.362942263560988E-3</v>
      </c>
      <c r="AD256">
        <f t="shared" si="67"/>
        <v>-1.4841749720400177E-2</v>
      </c>
      <c r="AE256">
        <f t="shared" si="68"/>
        <v>3.9485182231693082E-2</v>
      </c>
      <c r="AF256">
        <f t="shared" si="69"/>
        <v>6.6795568420564042E-2</v>
      </c>
      <c r="AG256">
        <f t="shared" si="70"/>
        <v>8.7463794115514359E-2</v>
      </c>
      <c r="AH256">
        <f t="shared" si="71"/>
        <v>-0.10292362398259192</v>
      </c>
      <c r="AI256">
        <f t="shared" si="72"/>
        <v>0.15305877298901416</v>
      </c>
      <c r="AJ256">
        <f t="shared" si="61"/>
        <v>5.4286379045026485E-2</v>
      </c>
      <c r="AK256">
        <f t="shared" si="55"/>
        <v>7.6217827703238275E-2</v>
      </c>
      <c r="AL256">
        <f t="shared" si="56"/>
        <v>0.12066273401666204</v>
      </c>
      <c r="AM256">
        <f t="shared" si="57"/>
        <v>6.9601629628943548E-2</v>
      </c>
      <c r="AN256">
        <f t="shared" si="58"/>
        <v>6.4685256356990281E-2</v>
      </c>
    </row>
    <row r="257" spans="1:40">
      <c r="A257" s="37">
        <v>44287</v>
      </c>
      <c r="B257" s="1">
        <v>8.1198859999999993</v>
      </c>
      <c r="C257" s="1">
        <v>36.285117999999997</v>
      </c>
      <c r="D257" s="1">
        <v>136.060135</v>
      </c>
      <c r="E257" s="1">
        <v>60.098090999999997</v>
      </c>
      <c r="F257" s="1">
        <v>77.510727000000003</v>
      </c>
      <c r="G257" s="1">
        <v>14.044796999999999</v>
      </c>
      <c r="H257" s="1">
        <v>349.48232999999999</v>
      </c>
      <c r="I257" s="1">
        <v>118.441025</v>
      </c>
      <c r="J257" s="1">
        <v>178.057343</v>
      </c>
      <c r="K257" s="1">
        <v>30.614160999999999</v>
      </c>
      <c r="L257" s="1">
        <v>145.10363799999999</v>
      </c>
      <c r="M257" s="1">
        <v>43.298431000000001</v>
      </c>
      <c r="N257" s="1">
        <v>40.277156999999995</v>
      </c>
      <c r="O257" s="1">
        <v>56.274642999999998</v>
      </c>
      <c r="P257" s="1">
        <v>128.16130099999998</v>
      </c>
      <c r="Q257" s="1">
        <v>173.371002</v>
      </c>
      <c r="R257" s="1">
        <v>242.98796099999998</v>
      </c>
      <c r="S257" s="1">
        <v>111.75368499999999</v>
      </c>
      <c r="V257" s="37">
        <v>44287</v>
      </c>
      <c r="W257">
        <f t="shared" si="59"/>
        <v>0.1055381812010662</v>
      </c>
      <c r="X257">
        <f t="shared" si="60"/>
        <v>4.5891982492657232E-2</v>
      </c>
      <c r="Y257">
        <f t="shared" si="62"/>
        <v>7.410004407242414E-2</v>
      </c>
      <c r="Z257">
        <f t="shared" si="63"/>
        <v>0.11254096240760794</v>
      </c>
      <c r="AA257">
        <f t="shared" si="64"/>
        <v>0.12335013965228318</v>
      </c>
      <c r="AB257">
        <f t="shared" si="65"/>
        <v>0.10253313024033026</v>
      </c>
      <c r="AC257">
        <f t="shared" si="66"/>
        <v>-2.6291065988944297E-2</v>
      </c>
      <c r="AD257">
        <f t="shared" si="67"/>
        <v>1.7184603054558101E-2</v>
      </c>
      <c r="AE257">
        <f t="shared" si="68"/>
        <v>4.8507749551221772E-2</v>
      </c>
      <c r="AF257">
        <f t="shared" si="69"/>
        <v>2.0697937794212622E-3</v>
      </c>
      <c r="AG257">
        <f t="shared" si="70"/>
        <v>4.4212888721645908E-2</v>
      </c>
      <c r="AH257">
        <f t="shared" si="71"/>
        <v>-5.5717469300446583E-2</v>
      </c>
      <c r="AI257">
        <f t="shared" si="72"/>
        <v>3.7069771334655062E-2</v>
      </c>
      <c r="AJ257">
        <f t="shared" si="61"/>
        <v>5.8719128613574666E-2</v>
      </c>
      <c r="AK257">
        <f t="shared" si="55"/>
        <v>-5.210735961552062E-2</v>
      </c>
      <c r="AL257">
        <f t="shared" si="56"/>
        <v>-7.0470256611887161E-2</v>
      </c>
      <c r="AM257">
        <f t="shared" si="57"/>
        <v>-9.9133676832655806E-3</v>
      </c>
      <c r="AN257">
        <f t="shared" si="58"/>
        <v>1.3109769042515332E-2</v>
      </c>
    </row>
    <row r="258" spans="1:40">
      <c r="A258" s="37">
        <v>44317</v>
      </c>
      <c r="B258" s="1">
        <v>8.9768439999999998</v>
      </c>
      <c r="C258" s="1">
        <v>37.950313999999999</v>
      </c>
      <c r="D258" s="1">
        <v>146.14219699999998</v>
      </c>
      <c r="E258" s="1">
        <v>66.861587999999998</v>
      </c>
      <c r="F258" s="1">
        <v>87.071686</v>
      </c>
      <c r="G258" s="1">
        <v>15.484853999999999</v>
      </c>
      <c r="H258" s="1">
        <v>340.29406699999998</v>
      </c>
      <c r="I258" s="1">
        <v>120.47638699999999</v>
      </c>
      <c r="J258" s="1">
        <v>186.69450399999999</v>
      </c>
      <c r="K258" s="1">
        <v>30.677526</v>
      </c>
      <c r="L258" s="1">
        <v>151.51908899999998</v>
      </c>
      <c r="M258" s="1">
        <v>40.885951999999996</v>
      </c>
      <c r="N258" s="1">
        <v>41.770221999999997</v>
      </c>
      <c r="O258" s="1">
        <v>59.579040999999997</v>
      </c>
      <c r="P258" s="1">
        <v>121.483154</v>
      </c>
      <c r="Q258" s="1">
        <v>161.153503</v>
      </c>
      <c r="R258" s="1">
        <v>240.57913199999999</v>
      </c>
      <c r="S258" s="1">
        <v>113.21875</v>
      </c>
      <c r="V258" s="37">
        <v>44317</v>
      </c>
      <c r="W258">
        <f t="shared" si="59"/>
        <v>-8.7901939701748241E-2</v>
      </c>
      <c r="X258">
        <f t="shared" si="60"/>
        <v>-2.7364780170198361E-2</v>
      </c>
      <c r="Y258">
        <f t="shared" si="62"/>
        <v>-5.2971237321688812E-2</v>
      </c>
      <c r="Z258">
        <f t="shared" si="63"/>
        <v>-0.10113090643315259</v>
      </c>
      <c r="AA258">
        <f t="shared" si="64"/>
        <v>-2.3423986529903736E-2</v>
      </c>
      <c r="AB258">
        <f t="shared" si="65"/>
        <v>3.71992528957652E-2</v>
      </c>
      <c r="AC258">
        <f t="shared" si="66"/>
        <v>-2.3234836474536603E-2</v>
      </c>
      <c r="AD258">
        <f t="shared" si="67"/>
        <v>5.9331128514011802E-4</v>
      </c>
      <c r="AE258">
        <f t="shared" si="68"/>
        <v>-5.4474094213293016E-2</v>
      </c>
      <c r="AF258">
        <f t="shared" si="69"/>
        <v>2.1065225403117518E-2</v>
      </c>
      <c r="AG258">
        <f t="shared" si="70"/>
        <v>3.1849082725147686E-2</v>
      </c>
      <c r="AH258">
        <f t="shared" si="71"/>
        <v>1.7048129391728499E-2</v>
      </c>
      <c r="AI258">
        <f t="shared" si="72"/>
        <v>-2.8492905783454953E-2</v>
      </c>
      <c r="AJ258">
        <f t="shared" si="61"/>
        <v>-2.8432767153804911E-2</v>
      </c>
      <c r="AK258">
        <f t="shared" ref="AK258:AK299" si="73">(P259-P258)/P258</f>
        <v>0.1009763213753901</v>
      </c>
      <c r="AL258">
        <f t="shared" ref="AL258:AL299" si="74">(Q259-Q258)/Q258</f>
        <v>6.7354992587408985E-2</v>
      </c>
      <c r="AM258">
        <f t="shared" ref="AM258:AM299" si="75">(R259-R258)/R258</f>
        <v>8.7494230380713259E-2</v>
      </c>
      <c r="AN258">
        <f t="shared" ref="AN258:AN299" si="76">(S259-S258)/S258</f>
        <v>3.1222637593154832E-2</v>
      </c>
    </row>
    <row r="259" spans="1:40">
      <c r="A259" s="37">
        <v>44348</v>
      </c>
      <c r="B259" s="1">
        <v>8.1877619999999993</v>
      </c>
      <c r="C259" s="1">
        <v>36.911811999999998</v>
      </c>
      <c r="D259" s="1">
        <v>138.40086399999998</v>
      </c>
      <c r="E259" s="1">
        <v>60.099815</v>
      </c>
      <c r="F259" s="1">
        <v>85.032119999999992</v>
      </c>
      <c r="G259" s="1">
        <v>16.060879</v>
      </c>
      <c r="H259" s="1">
        <v>332.38738999999998</v>
      </c>
      <c r="I259" s="1">
        <v>120.547867</v>
      </c>
      <c r="J259" s="1">
        <v>176.52448999999999</v>
      </c>
      <c r="K259" s="1">
        <v>31.323754999999998</v>
      </c>
      <c r="L259" s="1">
        <v>156.34483299999999</v>
      </c>
      <c r="M259" s="1">
        <v>41.582980999999997</v>
      </c>
      <c r="N259" s="1">
        <v>40.580067</v>
      </c>
      <c r="O259" s="1">
        <v>57.885044000000001</v>
      </c>
      <c r="P259" s="1">
        <v>133.75007600000001</v>
      </c>
      <c r="Q259" s="1">
        <v>172.00799599999999</v>
      </c>
      <c r="R259" s="1">
        <v>261.62841800000001</v>
      </c>
      <c r="S259" s="1">
        <v>116.753738</v>
      </c>
      <c r="V259" s="37">
        <v>44348</v>
      </c>
      <c r="W259">
        <f t="shared" ref="W259:W299" si="77">(B260-B259)/B259</f>
        <v>1.4507871625970697E-2</v>
      </c>
      <c r="X259">
        <f t="shared" ref="X259:X299" si="78">(C260-C259)/C259</f>
        <v>-6.5692981964689243E-2</v>
      </c>
      <c r="Y259">
        <f t="shared" si="62"/>
        <v>-2.4173786949769165E-2</v>
      </c>
      <c r="Z259">
        <f t="shared" si="63"/>
        <v>-4.4239953151270134E-2</v>
      </c>
      <c r="AA259">
        <f t="shared" si="64"/>
        <v>-2.7886215232549749E-2</v>
      </c>
      <c r="AB259">
        <f t="shared" si="65"/>
        <v>-0.10337559980372188</v>
      </c>
      <c r="AC259">
        <f t="shared" si="66"/>
        <v>2.7820252146147865E-2</v>
      </c>
      <c r="AD259">
        <f t="shared" si="67"/>
        <v>5.4102317712514954E-2</v>
      </c>
      <c r="AE259">
        <f t="shared" si="68"/>
        <v>-3.5561875862096998E-2</v>
      </c>
      <c r="AF259">
        <f t="shared" si="69"/>
        <v>9.3207439529519986E-2</v>
      </c>
      <c r="AG259">
        <f t="shared" si="70"/>
        <v>3.2076333472434028E-2</v>
      </c>
      <c r="AH259">
        <f t="shared" si="71"/>
        <v>5.2811990559311012E-3</v>
      </c>
      <c r="AI259">
        <f t="shared" si="72"/>
        <v>1.4351627364242564E-2</v>
      </c>
      <c r="AJ259">
        <f t="shared" ref="AJ259:AJ299" si="79">(O260-O259)/O259</f>
        <v>-5.139223872750278E-2</v>
      </c>
      <c r="AK259">
        <f t="shared" si="73"/>
        <v>6.4982213542816913E-2</v>
      </c>
      <c r="AL259">
        <f t="shared" si="74"/>
        <v>-3.2722286933684099E-2</v>
      </c>
      <c r="AM259">
        <f t="shared" si="75"/>
        <v>5.1716193918964787E-2</v>
      </c>
      <c r="AN259">
        <f t="shared" si="76"/>
        <v>-3.8406410593894678E-2</v>
      </c>
    </row>
    <row r="260" spans="1:40">
      <c r="A260" s="37">
        <v>44378</v>
      </c>
      <c r="B260" s="1">
        <v>8.3065490000000004</v>
      </c>
      <c r="C260" s="1">
        <v>34.486964999999998</v>
      </c>
      <c r="D260" s="1">
        <v>135.05519100000001</v>
      </c>
      <c r="E260" s="1">
        <v>57.441001999999997</v>
      </c>
      <c r="F260" s="1">
        <v>82.660895999999994</v>
      </c>
      <c r="G260" s="1">
        <v>14.400575999999999</v>
      </c>
      <c r="H260" s="1">
        <v>341.63449099999997</v>
      </c>
      <c r="I260" s="1">
        <v>127.06978599999999</v>
      </c>
      <c r="J260" s="1">
        <v>170.246948</v>
      </c>
      <c r="K260" s="1">
        <v>34.243361999999998</v>
      </c>
      <c r="L260" s="1">
        <v>161.359802</v>
      </c>
      <c r="M260" s="1">
        <v>41.802588999999998</v>
      </c>
      <c r="N260" s="1">
        <v>41.162456999999996</v>
      </c>
      <c r="O260" s="1">
        <v>54.910201999999998</v>
      </c>
      <c r="P260" s="1">
        <v>142.441452</v>
      </c>
      <c r="Q260" s="1">
        <v>166.379501</v>
      </c>
      <c r="R260" s="1">
        <v>275.15884399999999</v>
      </c>
      <c r="S260" s="1">
        <v>112.26964599999999</v>
      </c>
      <c r="V260" s="37">
        <v>44378</v>
      </c>
      <c r="W260">
        <f t="shared" si="77"/>
        <v>4.6986901539977532E-2</v>
      </c>
      <c r="X260">
        <f t="shared" si="78"/>
        <v>8.8373157800345742E-2</v>
      </c>
      <c r="Y260">
        <f t="shared" si="62"/>
        <v>5.9900733471251667E-2</v>
      </c>
      <c r="Z260">
        <f t="shared" si="63"/>
        <v>7.1383329977426219E-2</v>
      </c>
      <c r="AA260">
        <f t="shared" si="64"/>
        <v>6.6552992602451648E-3</v>
      </c>
      <c r="AB260">
        <f t="shared" si="65"/>
        <v>0.31705884542396084</v>
      </c>
      <c r="AC260">
        <f t="shared" si="66"/>
        <v>4.5466065075964519E-2</v>
      </c>
      <c r="AD260">
        <f t="shared" si="67"/>
        <v>7.421126844425547E-3</v>
      </c>
      <c r="AE260">
        <f t="shared" si="68"/>
        <v>-1.9182945940387736E-2</v>
      </c>
      <c r="AF260">
        <f t="shared" si="69"/>
        <v>8.5897348513852168E-2</v>
      </c>
      <c r="AG260">
        <f t="shared" si="70"/>
        <v>-2.425928856804133E-2</v>
      </c>
      <c r="AH260">
        <f t="shared" si="71"/>
        <v>0.16180186830054952</v>
      </c>
      <c r="AI260">
        <f t="shared" si="72"/>
        <v>-5.2242508264266499E-3</v>
      </c>
      <c r="AJ260">
        <f t="shared" si="79"/>
        <v>-1.3756405412604377E-2</v>
      </c>
      <c r="AK260">
        <f t="shared" si="73"/>
        <v>4.0929749859612528E-2</v>
      </c>
      <c r="AL260">
        <f t="shared" si="74"/>
        <v>4.3034171619495278E-2</v>
      </c>
      <c r="AM260">
        <f t="shared" si="75"/>
        <v>5.9562653926544272E-2</v>
      </c>
      <c r="AN260">
        <f t="shared" si="76"/>
        <v>-4.3985887334141369E-3</v>
      </c>
    </row>
    <row r="261" spans="1:40">
      <c r="A261" s="37">
        <v>44409</v>
      </c>
      <c r="B261" s="1">
        <v>8.6968479999999992</v>
      </c>
      <c r="C261" s="1">
        <v>37.534686999999998</v>
      </c>
      <c r="D261" s="1">
        <v>143.145096</v>
      </c>
      <c r="E261" s="1">
        <v>61.541331999999997</v>
      </c>
      <c r="F261" s="1">
        <v>83.211028999999996</v>
      </c>
      <c r="G261" s="1">
        <v>18.966405999999999</v>
      </c>
      <c r="H261" s="1">
        <v>357.16726699999998</v>
      </c>
      <c r="I261" s="1">
        <v>128.012787</v>
      </c>
      <c r="J261" s="1">
        <v>166.98111</v>
      </c>
      <c r="K261" s="1">
        <v>37.184775999999999</v>
      </c>
      <c r="L261" s="1">
        <v>157.44532799999999</v>
      </c>
      <c r="M261" s="1">
        <v>48.566325999999997</v>
      </c>
      <c r="N261" s="1">
        <v>40.947413999999995</v>
      </c>
      <c r="O261" s="1">
        <v>54.154834999999999</v>
      </c>
      <c r="P261" s="1">
        <v>148.271545</v>
      </c>
      <c r="Q261" s="1">
        <v>173.53950499999999</v>
      </c>
      <c r="R261" s="1">
        <v>291.54803499999997</v>
      </c>
      <c r="S261" s="1">
        <v>111.775818</v>
      </c>
      <c r="V261" s="37">
        <v>44409</v>
      </c>
      <c r="W261">
        <f t="shared" si="77"/>
        <v>1.7565904336835601E-2</v>
      </c>
      <c r="X261">
        <f t="shared" si="78"/>
        <v>1.6766624429291315E-2</v>
      </c>
      <c r="Y261">
        <f t="shared" si="62"/>
        <v>2.3382400749516332E-2</v>
      </c>
      <c r="Z261">
        <f t="shared" si="63"/>
        <v>-2.405753908608935E-2</v>
      </c>
      <c r="AA261">
        <f t="shared" si="64"/>
        <v>2.1103692877058634E-3</v>
      </c>
      <c r="AB261">
        <f t="shared" si="65"/>
        <v>9.379056843979737E-3</v>
      </c>
      <c r="AC261">
        <f t="shared" si="66"/>
        <v>-0.11364165966530193</v>
      </c>
      <c r="AD261">
        <f t="shared" si="67"/>
        <v>-1.8189518832989814E-2</v>
      </c>
      <c r="AE261">
        <f t="shared" si="68"/>
        <v>-9.2927128104490414E-2</v>
      </c>
      <c r="AF261">
        <f t="shared" si="69"/>
        <v>-6.6420757785390513E-2</v>
      </c>
      <c r="AG261">
        <f t="shared" si="70"/>
        <v>9.4600520632787486E-3</v>
      </c>
      <c r="AH261">
        <f t="shared" si="71"/>
        <v>-2.9736220936292329E-2</v>
      </c>
      <c r="AI261">
        <f t="shared" si="72"/>
        <v>1.9956278557664384E-2</v>
      </c>
      <c r="AJ261">
        <f t="shared" si="79"/>
        <v>1.8632574542974709E-2</v>
      </c>
      <c r="AK261">
        <f t="shared" si="73"/>
        <v>-6.6640392800924847E-2</v>
      </c>
      <c r="AL261">
        <f t="shared" si="74"/>
        <v>-5.3518108167935639E-2</v>
      </c>
      <c r="AM261">
        <f t="shared" si="75"/>
        <v>-6.433081944798559E-2</v>
      </c>
      <c r="AN261">
        <f t="shared" si="76"/>
        <v>1.3499699908256888E-3</v>
      </c>
    </row>
    <row r="262" spans="1:40">
      <c r="A262" s="37">
        <v>44440</v>
      </c>
      <c r="B262" s="1">
        <v>8.8496159999999993</v>
      </c>
      <c r="C262" s="1">
        <v>38.164017000000001</v>
      </c>
      <c r="D262" s="1">
        <v>146.49217199999998</v>
      </c>
      <c r="E262" s="1">
        <v>60.060798999999996</v>
      </c>
      <c r="F262" s="1">
        <v>83.386634999999998</v>
      </c>
      <c r="G262" s="1">
        <v>19.144292999999998</v>
      </c>
      <c r="H262" s="1">
        <v>316.57818599999996</v>
      </c>
      <c r="I262" s="1">
        <v>125.68429599999999</v>
      </c>
      <c r="J262" s="1">
        <v>151.464035</v>
      </c>
      <c r="K262" s="1">
        <v>34.714934999999997</v>
      </c>
      <c r="L262" s="1">
        <v>158.93476899999999</v>
      </c>
      <c r="M262" s="1">
        <v>47.122146999999998</v>
      </c>
      <c r="N262" s="1">
        <v>41.764572000000001</v>
      </c>
      <c r="O262" s="1">
        <v>55.163878999999994</v>
      </c>
      <c r="P262" s="1">
        <v>138.390671</v>
      </c>
      <c r="Q262" s="1">
        <v>164.25199899999998</v>
      </c>
      <c r="R262" s="1">
        <v>272.79251099999999</v>
      </c>
      <c r="S262" s="1">
        <v>111.92671199999999</v>
      </c>
      <c r="V262" s="37">
        <v>44440</v>
      </c>
      <c r="W262">
        <f t="shared" si="77"/>
        <v>8.4302301930388873E-2</v>
      </c>
      <c r="X262">
        <f t="shared" si="78"/>
        <v>0.13132721327526908</v>
      </c>
      <c r="Y262">
        <f t="shared" si="62"/>
        <v>3.7876419772109225E-2</v>
      </c>
      <c r="Z262">
        <f t="shared" si="63"/>
        <v>-1.4534089032015696E-2</v>
      </c>
      <c r="AA262">
        <f t="shared" si="64"/>
        <v>8.8037645361273953E-2</v>
      </c>
      <c r="AB262">
        <f t="shared" si="65"/>
        <v>0.17962893693697651</v>
      </c>
      <c r="AC262">
        <f t="shared" si="66"/>
        <v>2.4647099342467154E-2</v>
      </c>
      <c r="AD262">
        <f t="shared" si="67"/>
        <v>2.2818443443403606E-2</v>
      </c>
      <c r="AE262">
        <f t="shared" si="68"/>
        <v>2.9424318452892156E-2</v>
      </c>
      <c r="AF262">
        <f t="shared" si="69"/>
        <v>1.6972838923650552E-2</v>
      </c>
      <c r="AG262">
        <f t="shared" si="70"/>
        <v>3.7306632383251624E-2</v>
      </c>
      <c r="AH262">
        <f t="shared" si="71"/>
        <v>0.10797634072148704</v>
      </c>
      <c r="AI262">
        <f t="shared" si="72"/>
        <v>0.102348828092863</v>
      </c>
      <c r="AJ262">
        <f t="shared" si="79"/>
        <v>9.6145196750939146E-2</v>
      </c>
      <c r="AK262">
        <f t="shared" si="73"/>
        <v>5.8657458203956403E-2</v>
      </c>
      <c r="AL262">
        <f t="shared" si="74"/>
        <v>2.6602458579514755E-2</v>
      </c>
      <c r="AM262">
        <f t="shared" si="75"/>
        <v>0.17629072669080703</v>
      </c>
      <c r="AN262">
        <f t="shared" si="76"/>
        <v>-9.9546379956198444E-2</v>
      </c>
    </row>
    <row r="263" spans="1:40">
      <c r="A263" s="37">
        <v>44470</v>
      </c>
      <c r="B263" s="1">
        <v>9.5956589999999995</v>
      </c>
      <c r="C263" s="1">
        <v>43.175990999999996</v>
      </c>
      <c r="D263" s="1">
        <v>152.04077100000001</v>
      </c>
      <c r="E263" s="1">
        <v>59.187869999999997</v>
      </c>
      <c r="F263" s="1">
        <v>90.727797999999993</v>
      </c>
      <c r="G263" s="1">
        <v>22.583161999999998</v>
      </c>
      <c r="H263" s="1">
        <v>324.38092</v>
      </c>
      <c r="I263" s="1">
        <v>128.55221599999999</v>
      </c>
      <c r="J263" s="1">
        <v>155.920761</v>
      </c>
      <c r="K263" s="1">
        <v>35.304145999999996</v>
      </c>
      <c r="L263" s="1">
        <v>164.86409</v>
      </c>
      <c r="M263" s="1">
        <v>52.210223999999997</v>
      </c>
      <c r="N263" s="1">
        <v>46.039127000000001</v>
      </c>
      <c r="O263" s="1">
        <v>60.467620999999994</v>
      </c>
      <c r="P263" s="1">
        <v>146.50831599999998</v>
      </c>
      <c r="Q263" s="1">
        <v>168.62150599999998</v>
      </c>
      <c r="R263" s="1">
        <v>320.88330099999996</v>
      </c>
      <c r="S263" s="1">
        <v>100.784813</v>
      </c>
      <c r="V263" s="37">
        <v>44470</v>
      </c>
      <c r="W263">
        <f t="shared" si="77"/>
        <v>-0.11528150385502442</v>
      </c>
      <c r="X263">
        <f t="shared" si="78"/>
        <v>-6.9275792650595996E-2</v>
      </c>
      <c r="Y263">
        <f t="shared" si="62"/>
        <v>-5.9467325379453685E-2</v>
      </c>
      <c r="Z263">
        <f t="shared" si="63"/>
        <v>-7.227219023086992E-2</v>
      </c>
      <c r="AA263">
        <f t="shared" si="64"/>
        <v>-3.3525072437005511E-2</v>
      </c>
      <c r="AB263">
        <f t="shared" si="65"/>
        <v>7.6690633490562543E-2</v>
      </c>
      <c r="AC263">
        <f t="shared" si="66"/>
        <v>9.4358879061073424E-3</v>
      </c>
      <c r="AD263">
        <f t="shared" si="67"/>
        <v>1.7387829393777192E-2</v>
      </c>
      <c r="AE263">
        <f t="shared" si="68"/>
        <v>-2.7652603619604046E-2</v>
      </c>
      <c r="AF263">
        <f t="shared" si="69"/>
        <v>0.22839529952091189</v>
      </c>
      <c r="AG263">
        <f t="shared" si="70"/>
        <v>-0.12142588480001935</v>
      </c>
      <c r="AH263">
        <f t="shared" si="71"/>
        <v>-0.12869554055159771</v>
      </c>
      <c r="AI263">
        <f t="shared" si="72"/>
        <v>-6.6067260571643804E-2</v>
      </c>
      <c r="AJ263">
        <f t="shared" si="79"/>
        <v>3.0535846614504849E-3</v>
      </c>
      <c r="AK263">
        <f t="shared" si="73"/>
        <v>0.1034710070655649</v>
      </c>
      <c r="AL263">
        <f t="shared" si="74"/>
        <v>3.9923697514598261E-2</v>
      </c>
      <c r="AM263">
        <f t="shared" si="75"/>
        <v>-3.105842519364908E-3</v>
      </c>
      <c r="AN263">
        <f t="shared" si="76"/>
        <v>-2.0890508572953354E-2</v>
      </c>
    </row>
    <row r="264" spans="1:40">
      <c r="A264" s="37">
        <v>44501</v>
      </c>
      <c r="B264" s="1">
        <v>8.4894569999999998</v>
      </c>
      <c r="C264" s="1">
        <v>40.184939999999997</v>
      </c>
      <c r="D264" s="1">
        <v>142.999313</v>
      </c>
      <c r="E264" s="1">
        <v>54.910232999999998</v>
      </c>
      <c r="F264" s="1">
        <v>87.68614199999999</v>
      </c>
      <c r="G264" s="1">
        <v>24.315078999999997</v>
      </c>
      <c r="H264" s="1">
        <v>327.44174199999998</v>
      </c>
      <c r="I264" s="1">
        <v>130.78745999999998</v>
      </c>
      <c r="J264" s="1">
        <v>151.60914599999998</v>
      </c>
      <c r="K264" s="1">
        <v>43.367446999999999</v>
      </c>
      <c r="L264" s="1">
        <v>144.84532199999998</v>
      </c>
      <c r="M264" s="1">
        <v>45.491000999999997</v>
      </c>
      <c r="N264" s="1">
        <v>42.997447999999999</v>
      </c>
      <c r="O264" s="1">
        <v>60.652263999999995</v>
      </c>
      <c r="P264" s="1">
        <v>161.66767899999999</v>
      </c>
      <c r="Q264" s="1">
        <v>175.3535</v>
      </c>
      <c r="R264" s="1">
        <v>319.88668799999999</v>
      </c>
      <c r="S264" s="1">
        <v>98.679366999999999</v>
      </c>
      <c r="V264" s="37">
        <v>44501</v>
      </c>
      <c r="W264">
        <f t="shared" si="77"/>
        <v>4.5454615059596866E-2</v>
      </c>
      <c r="X264">
        <f t="shared" si="78"/>
        <v>4.4977048615721691E-4</v>
      </c>
      <c r="Y264">
        <f t="shared" si="62"/>
        <v>-3.0222103234859832E-3</v>
      </c>
      <c r="Z264">
        <f t="shared" si="63"/>
        <v>-5.1962409265318546E-2</v>
      </c>
      <c r="AA264">
        <f t="shared" si="64"/>
        <v>3.5072394905913531E-2</v>
      </c>
      <c r="AB264">
        <f t="shared" si="65"/>
        <v>-8.140339581047619E-2</v>
      </c>
      <c r="AC264">
        <f t="shared" si="66"/>
        <v>-7.6693367945739506E-3</v>
      </c>
      <c r="AD264">
        <f t="shared" si="67"/>
        <v>0.13141527482833615</v>
      </c>
      <c r="AE264">
        <f t="shared" si="68"/>
        <v>8.3959037669139092E-2</v>
      </c>
      <c r="AF264">
        <f t="shared" si="69"/>
        <v>0.10866044293545796</v>
      </c>
      <c r="AG264">
        <f t="shared" si="70"/>
        <v>7.4195713410751415E-2</v>
      </c>
      <c r="AH264">
        <f t="shared" si="71"/>
        <v>1.6841990353212977E-2</v>
      </c>
      <c r="AI264">
        <f t="shared" si="72"/>
        <v>8.0630599285799447E-3</v>
      </c>
      <c r="AJ264">
        <f t="shared" si="79"/>
        <v>6.4113253876227891E-2</v>
      </c>
      <c r="AK264">
        <f t="shared" si="73"/>
        <v>7.5796597537594407E-2</v>
      </c>
      <c r="AL264">
        <f t="shared" si="74"/>
        <v>-4.9251968167159481E-2</v>
      </c>
      <c r="AM264">
        <f t="shared" si="75"/>
        <v>1.9193865297701899E-2</v>
      </c>
      <c r="AN264">
        <f t="shared" si="76"/>
        <v>0.15664883622530729</v>
      </c>
    </row>
    <row r="265" spans="1:40">
      <c r="A265" s="37">
        <v>44531</v>
      </c>
      <c r="B265" s="1">
        <v>8.8753419999999998</v>
      </c>
      <c r="C265" s="1">
        <v>40.203013999999996</v>
      </c>
      <c r="D265" s="1">
        <v>142.567139</v>
      </c>
      <c r="E265" s="1">
        <v>52.056964999999998</v>
      </c>
      <c r="F265" s="1">
        <v>90.761505</v>
      </c>
      <c r="G265" s="1">
        <v>22.335749</v>
      </c>
      <c r="H265" s="1">
        <v>324.93048099999999</v>
      </c>
      <c r="I265" s="1">
        <v>147.97493</v>
      </c>
      <c r="J265" s="1">
        <v>164.33810399999999</v>
      </c>
      <c r="K265" s="1">
        <v>48.079772999999996</v>
      </c>
      <c r="L265" s="1">
        <v>155.59222399999999</v>
      </c>
      <c r="M265" s="1">
        <v>46.257159999999999</v>
      </c>
      <c r="N265" s="1">
        <v>43.344138999999998</v>
      </c>
      <c r="O265" s="1">
        <v>64.540877999999992</v>
      </c>
      <c r="P265" s="1">
        <v>173.921539</v>
      </c>
      <c r="Q265" s="1">
        <v>166.716995</v>
      </c>
      <c r="R265" s="1">
        <v>326.02654999999999</v>
      </c>
      <c r="S265" s="1">
        <v>114.13737499999999</v>
      </c>
      <c r="V265" s="37">
        <v>44531</v>
      </c>
      <c r="W265">
        <f t="shared" si="77"/>
        <v>5.2173989464293205E-2</v>
      </c>
      <c r="X265">
        <f t="shared" si="78"/>
        <v>4.2078462077495056E-2</v>
      </c>
      <c r="Y265">
        <f t="shared" si="62"/>
        <v>-6.1572274379441766E-2</v>
      </c>
      <c r="Z265">
        <f t="shared" si="63"/>
        <v>7.8324274186941129E-2</v>
      </c>
      <c r="AA265">
        <f t="shared" si="64"/>
        <v>5.0686885370620403E-2</v>
      </c>
      <c r="AB265">
        <f t="shared" si="65"/>
        <v>-1.623997475974507E-2</v>
      </c>
      <c r="AC265">
        <f t="shared" si="66"/>
        <v>0.10107245678807215</v>
      </c>
      <c r="AD265">
        <f t="shared" si="67"/>
        <v>-1.9134362827541228E-2</v>
      </c>
      <c r="AE265">
        <f t="shared" si="68"/>
        <v>-7.4064010133644942E-2</v>
      </c>
      <c r="AF265">
        <f t="shared" si="69"/>
        <v>-0.10770547939151044</v>
      </c>
      <c r="AG265">
        <f t="shared" si="70"/>
        <v>9.9144331274550052E-2</v>
      </c>
      <c r="AH265">
        <f t="shared" si="71"/>
        <v>-0.17122147144355604</v>
      </c>
      <c r="AI265">
        <f t="shared" si="72"/>
        <v>0.1213007138058504</v>
      </c>
      <c r="AJ265">
        <f t="shared" si="79"/>
        <v>4.3687924419001656E-2</v>
      </c>
      <c r="AK265">
        <f t="shared" si="73"/>
        <v>-1.5712148223343481E-2</v>
      </c>
      <c r="AL265">
        <f t="shared" si="74"/>
        <v>-0.10282990645314838</v>
      </c>
      <c r="AM265">
        <f t="shared" si="75"/>
        <v>-7.534503861725371E-2</v>
      </c>
      <c r="AN265">
        <f t="shared" si="76"/>
        <v>-6.7339028955238289E-4</v>
      </c>
    </row>
    <row r="266" spans="1:40">
      <c r="A266" s="37">
        <v>44562</v>
      </c>
      <c r="B266" s="1">
        <v>9.3384039999999988</v>
      </c>
      <c r="C266" s="1">
        <v>41.894694999999999</v>
      </c>
      <c r="D266" s="1">
        <v>133.78895599999998</v>
      </c>
      <c r="E266" s="1">
        <v>56.134288999999995</v>
      </c>
      <c r="F266" s="1">
        <v>95.36192299999999</v>
      </c>
      <c r="G266" s="1">
        <v>21.973016999999999</v>
      </c>
      <c r="H266" s="1">
        <v>357.77200299999998</v>
      </c>
      <c r="I266" s="1">
        <v>145.14352399999999</v>
      </c>
      <c r="J266" s="1">
        <v>152.16656499999999</v>
      </c>
      <c r="K266" s="1">
        <v>42.901317999999996</v>
      </c>
      <c r="L266" s="1">
        <v>171.01831099999998</v>
      </c>
      <c r="M266" s="1">
        <v>38.336940999999996</v>
      </c>
      <c r="N266" s="1">
        <v>48.601813999999997</v>
      </c>
      <c r="O266" s="1">
        <v>67.360534999999999</v>
      </c>
      <c r="P266" s="1">
        <v>171.18885799999998</v>
      </c>
      <c r="Q266" s="1">
        <v>149.57350199999999</v>
      </c>
      <c r="R266" s="1">
        <v>301.46206699999999</v>
      </c>
      <c r="S266" s="1">
        <v>114.06051599999999</v>
      </c>
      <c r="V266" s="37">
        <v>44562</v>
      </c>
      <c r="W266">
        <f t="shared" si="77"/>
        <v>-9.0909217463712125E-2</v>
      </c>
      <c r="X266">
        <f t="shared" si="78"/>
        <v>-4.2045920133802206E-2</v>
      </c>
      <c r="Y266">
        <f t="shared" si="62"/>
        <v>-4.004086107077473E-2</v>
      </c>
      <c r="Z266">
        <f t="shared" si="63"/>
        <v>-9.0448442305913923E-2</v>
      </c>
      <c r="AA266">
        <f t="shared" si="64"/>
        <v>1.5722910705145979E-2</v>
      </c>
      <c r="AB266">
        <f t="shared" si="65"/>
        <v>1.2500058594593603E-2</v>
      </c>
      <c r="AC266">
        <f t="shared" si="66"/>
        <v>-4.3517734393543422E-2</v>
      </c>
      <c r="AD266">
        <f t="shared" si="67"/>
        <v>-2.3174316754221748E-2</v>
      </c>
      <c r="AE266">
        <f t="shared" si="68"/>
        <v>-6.8422626218841098E-2</v>
      </c>
      <c r="AF266">
        <f t="shared" si="69"/>
        <v>-0.10235541015313332</v>
      </c>
      <c r="AG266">
        <f t="shared" si="70"/>
        <v>8.457460441180481E-2</v>
      </c>
      <c r="AH266">
        <f t="shared" si="71"/>
        <v>0.10052408719829785</v>
      </c>
      <c r="AI266">
        <f t="shared" si="72"/>
        <v>-7.9927469373879123E-3</v>
      </c>
      <c r="AJ266">
        <f t="shared" si="79"/>
        <v>1.7239619608128139E-2</v>
      </c>
      <c r="AK266">
        <f t="shared" si="73"/>
        <v>-5.5269648448732535E-2</v>
      </c>
      <c r="AL266">
        <f t="shared" si="74"/>
        <v>2.6672518505316645E-2</v>
      </c>
      <c r="AM266">
        <f t="shared" si="75"/>
        <v>-3.9198510504474218E-2</v>
      </c>
      <c r="AN266">
        <f t="shared" si="76"/>
        <v>-8.2802904381039266E-2</v>
      </c>
    </row>
    <row r="267" spans="1:40">
      <c r="A267" s="37">
        <v>44593</v>
      </c>
      <c r="B267" s="1">
        <v>8.4894569999999998</v>
      </c>
      <c r="C267" s="1">
        <v>40.133193999999996</v>
      </c>
      <c r="D267" s="1">
        <v>128.43193099999999</v>
      </c>
      <c r="E267" s="1">
        <v>51.057029999999997</v>
      </c>
      <c r="F267" s="1">
        <v>96.861289999999997</v>
      </c>
      <c r="G267" s="1">
        <v>22.247681</v>
      </c>
      <c r="H267" s="1">
        <v>342.20257599999997</v>
      </c>
      <c r="I267" s="1">
        <v>141.779922</v>
      </c>
      <c r="J267" s="1">
        <v>141.754929</v>
      </c>
      <c r="K267" s="1">
        <v>38.510135999999996</v>
      </c>
      <c r="L267" s="1">
        <v>185.48211699999999</v>
      </c>
      <c r="M267" s="1">
        <v>42.190726999999995</v>
      </c>
      <c r="N267" s="1">
        <v>48.213352</v>
      </c>
      <c r="O267" s="1">
        <v>68.521805000000001</v>
      </c>
      <c r="P267" s="1">
        <v>161.72730999999999</v>
      </c>
      <c r="Q267" s="1">
        <v>153.56300400000001</v>
      </c>
      <c r="R267" s="1">
        <v>289.64520299999998</v>
      </c>
      <c r="S267" s="1">
        <v>104.61597399999999</v>
      </c>
      <c r="V267" s="37">
        <v>44593</v>
      </c>
      <c r="W267">
        <f t="shared" si="77"/>
        <v>-0.20202022343714096</v>
      </c>
      <c r="X267">
        <f t="shared" si="78"/>
        <v>-6.7421048023239769E-2</v>
      </c>
      <c r="Y267">
        <f t="shared" si="62"/>
        <v>-3.864580997384514E-2</v>
      </c>
      <c r="Z267">
        <f t="shared" si="63"/>
        <v>-9.1328618213789556E-2</v>
      </c>
      <c r="AA267">
        <f t="shared" si="64"/>
        <v>3.5732984766153671E-2</v>
      </c>
      <c r="AB267">
        <f t="shared" si="65"/>
        <v>-6.0185149184762199E-2</v>
      </c>
      <c r="AC267">
        <f t="shared" si="66"/>
        <v>0.15399168123152879</v>
      </c>
      <c r="AD267">
        <f t="shared" si="67"/>
        <v>-1.9821798180986543E-2</v>
      </c>
      <c r="AE267">
        <f t="shared" si="68"/>
        <v>-0.14081144931475376</v>
      </c>
      <c r="AF267">
        <f t="shared" si="69"/>
        <v>0.10289740342646429</v>
      </c>
      <c r="AG267">
        <f t="shared" si="70"/>
        <v>-3.8757935893086709E-2</v>
      </c>
      <c r="AH267">
        <f t="shared" si="71"/>
        <v>4.2054904623947335E-2</v>
      </c>
      <c r="AI267">
        <f t="shared" si="72"/>
        <v>-8.7922532330878031E-2</v>
      </c>
      <c r="AJ267">
        <f t="shared" si="79"/>
        <v>-1.5739281824231031E-2</v>
      </c>
      <c r="AK267">
        <f t="shared" si="73"/>
        <v>5.8820671660216248E-2</v>
      </c>
      <c r="AL267">
        <f t="shared" si="74"/>
        <v>6.1437284725167088E-2</v>
      </c>
      <c r="AM267">
        <f t="shared" si="75"/>
        <v>3.3995446491133424E-2</v>
      </c>
      <c r="AN267">
        <f t="shared" si="76"/>
        <v>7.4084842913186427E-2</v>
      </c>
    </row>
    <row r="268" spans="1:40">
      <c r="A268" s="37">
        <v>44621</v>
      </c>
      <c r="B268" s="1">
        <v>6.7744149999999994</v>
      </c>
      <c r="C268" s="1">
        <v>37.427371999999998</v>
      </c>
      <c r="D268" s="1">
        <v>123.468575</v>
      </c>
      <c r="E268" s="1">
        <v>46.394061999999998</v>
      </c>
      <c r="F268" s="1">
        <v>100.32243299999999</v>
      </c>
      <c r="G268" s="1">
        <v>20.908701000000001</v>
      </c>
      <c r="H268" s="1">
        <v>394.89892599999996</v>
      </c>
      <c r="I268" s="1">
        <v>138.96958899999998</v>
      </c>
      <c r="J268" s="1">
        <v>121.79421199999999</v>
      </c>
      <c r="K268" s="1">
        <v>42.472729000000001</v>
      </c>
      <c r="L268" s="1">
        <v>178.29321299999998</v>
      </c>
      <c r="M268" s="1">
        <v>43.965053999999995</v>
      </c>
      <c r="N268" s="1">
        <v>43.974311999999998</v>
      </c>
      <c r="O268" s="1">
        <v>67.443320999999997</v>
      </c>
      <c r="P268" s="1">
        <v>171.240219</v>
      </c>
      <c r="Q268" s="1">
        <v>162.99749799999998</v>
      </c>
      <c r="R268" s="1">
        <v>299.49182099999996</v>
      </c>
      <c r="S268" s="1">
        <v>112.36643199999999</v>
      </c>
      <c r="V268" s="37">
        <v>44621</v>
      </c>
      <c r="W268">
        <f t="shared" si="77"/>
        <v>-3.5221934292481237E-2</v>
      </c>
      <c r="X268">
        <f t="shared" si="78"/>
        <v>-0.13016839654144038</v>
      </c>
      <c r="Y268">
        <f t="shared" si="62"/>
        <v>-0.12441327681962801</v>
      </c>
      <c r="Z268">
        <f t="shared" si="63"/>
        <v>-9.7191187958493436E-2</v>
      </c>
      <c r="AA268">
        <f t="shared" si="64"/>
        <v>-0.10112725236637748</v>
      </c>
      <c r="AB268">
        <f t="shared" si="65"/>
        <v>-1.1238861754252953E-3</v>
      </c>
      <c r="AC268">
        <f t="shared" si="66"/>
        <v>-8.8931586509303412E-2</v>
      </c>
      <c r="AD268">
        <f t="shared" si="67"/>
        <v>5.0720334216430664E-2</v>
      </c>
      <c r="AE268">
        <f t="shared" si="68"/>
        <v>-0.13627566308323413</v>
      </c>
      <c r="AF268">
        <f t="shared" si="69"/>
        <v>-5.2153630156423506E-2</v>
      </c>
      <c r="AG268">
        <f t="shared" si="70"/>
        <v>-6.5721839899760937E-2</v>
      </c>
      <c r="AH268">
        <f t="shared" si="71"/>
        <v>-0.16404888300603476</v>
      </c>
      <c r="AI268">
        <f t="shared" si="72"/>
        <v>-9.9669302387266429E-2</v>
      </c>
      <c r="AJ268">
        <f t="shared" si="79"/>
        <v>-9.04056162951999E-2</v>
      </c>
      <c r="AK268">
        <f t="shared" si="73"/>
        <v>-9.7130569542193915E-2</v>
      </c>
      <c r="AL268">
        <f t="shared" si="74"/>
        <v>-0.23752509379008993</v>
      </c>
      <c r="AM268">
        <f t="shared" si="75"/>
        <v>-9.9867044449270581E-2</v>
      </c>
      <c r="AN268">
        <f t="shared" si="76"/>
        <v>1.6843660213398975E-2</v>
      </c>
    </row>
    <row r="269" spans="1:40">
      <c r="A269" s="37">
        <v>44652</v>
      </c>
      <c r="B269" s="1">
        <v>6.5358070000000001</v>
      </c>
      <c r="C269" s="1">
        <v>32.555510999999996</v>
      </c>
      <c r="D269" s="1">
        <v>108.107445</v>
      </c>
      <c r="E269" s="1">
        <v>41.884968000000001</v>
      </c>
      <c r="F269" s="1">
        <v>90.177100999999993</v>
      </c>
      <c r="G269" s="1">
        <v>20.885202</v>
      </c>
      <c r="H269" s="1">
        <v>359.77993799999996</v>
      </c>
      <c r="I269" s="1">
        <v>146.01817299999999</v>
      </c>
      <c r="J269" s="1">
        <v>105.196625</v>
      </c>
      <c r="K269" s="1">
        <v>40.257621999999998</v>
      </c>
      <c r="L269" s="1">
        <v>166.57545500000001</v>
      </c>
      <c r="M269" s="1">
        <v>36.752635999999995</v>
      </c>
      <c r="N269" s="1">
        <v>39.591422999999999</v>
      </c>
      <c r="O269" s="1">
        <v>61.346066</v>
      </c>
      <c r="P269" s="1">
        <v>154.60755899999998</v>
      </c>
      <c r="Q269" s="1">
        <v>124.28150199999999</v>
      </c>
      <c r="R269" s="1">
        <v>269.58245799999997</v>
      </c>
      <c r="S269" s="1">
        <v>114.25909399999999</v>
      </c>
      <c r="V269" s="37">
        <v>44652</v>
      </c>
      <c r="W269">
        <f t="shared" si="77"/>
        <v>0.16510080545524053</v>
      </c>
      <c r="X269">
        <f t="shared" si="78"/>
        <v>4.2600928610827302E-2</v>
      </c>
      <c r="Y269">
        <f t="shared" si="62"/>
        <v>0.11603686499112065</v>
      </c>
      <c r="Z269">
        <f t="shared" si="63"/>
        <v>0.11927355417819575</v>
      </c>
      <c r="AA269">
        <f t="shared" si="64"/>
        <v>3.6741644644353762E-2</v>
      </c>
      <c r="AB269">
        <f t="shared" si="65"/>
        <v>-2.1514228112325597E-2</v>
      </c>
      <c r="AC269">
        <f t="shared" si="66"/>
        <v>-5.236380634431026E-2</v>
      </c>
      <c r="AD269">
        <f t="shared" si="67"/>
        <v>-7.3748881928552806E-2</v>
      </c>
      <c r="AE269">
        <f t="shared" si="68"/>
        <v>-1.2151359418612569E-2</v>
      </c>
      <c r="AF269">
        <f t="shared" si="69"/>
        <v>8.0904580007234494E-2</v>
      </c>
      <c r="AG269">
        <f t="shared" si="70"/>
        <v>-3.0970379159402591E-2</v>
      </c>
      <c r="AH269">
        <f t="shared" si="71"/>
        <v>-9.8214288629528509E-2</v>
      </c>
      <c r="AI269">
        <f t="shared" si="72"/>
        <v>4.9048375957590672E-2</v>
      </c>
      <c r="AJ269">
        <f t="shared" si="79"/>
        <v>6.5346553762714032E-2</v>
      </c>
      <c r="AK269">
        <f t="shared" si="73"/>
        <v>-5.5883224959265933E-2</v>
      </c>
      <c r="AL269">
        <f t="shared" si="74"/>
        <v>-3.276432079168138E-2</v>
      </c>
      <c r="AM269">
        <f t="shared" si="75"/>
        <v>-2.0358787588471244E-2</v>
      </c>
      <c r="AN269">
        <f t="shared" si="76"/>
        <v>5.0147474475860973E-2</v>
      </c>
    </row>
    <row r="270" spans="1:40">
      <c r="A270" s="37">
        <v>44682</v>
      </c>
      <c r="B270" s="1">
        <v>7.6148739999999995</v>
      </c>
      <c r="C270" s="1">
        <v>33.942405999999998</v>
      </c>
      <c r="D270" s="1">
        <v>120.651894</v>
      </c>
      <c r="E270" s="1">
        <v>46.880736999999996</v>
      </c>
      <c r="F270" s="1">
        <v>93.490355999999991</v>
      </c>
      <c r="G270" s="1">
        <v>20.435873000000001</v>
      </c>
      <c r="H270" s="1">
        <v>340.94049100000001</v>
      </c>
      <c r="I270" s="1">
        <v>135.24949599999999</v>
      </c>
      <c r="J270" s="1">
        <v>103.91834299999999</v>
      </c>
      <c r="K270" s="1">
        <v>43.514648000000001</v>
      </c>
      <c r="L270" s="1">
        <v>161.41655</v>
      </c>
      <c r="M270" s="1">
        <v>33.143001999999996</v>
      </c>
      <c r="N270" s="1">
        <v>41.533318000000001</v>
      </c>
      <c r="O270" s="1">
        <v>65.354820000000004</v>
      </c>
      <c r="P270" s="1">
        <v>145.96759</v>
      </c>
      <c r="Q270" s="1">
        <v>120.209503</v>
      </c>
      <c r="R270" s="1">
        <v>264.094086</v>
      </c>
      <c r="S270" s="1">
        <v>119.98889899999999</v>
      </c>
      <c r="V270" s="37">
        <v>44682</v>
      </c>
      <c r="W270">
        <f t="shared" si="77"/>
        <v>-0.12442398915595972</v>
      </c>
      <c r="X270">
        <f t="shared" si="78"/>
        <v>-0.16317202145304605</v>
      </c>
      <c r="Y270">
        <f t="shared" si="62"/>
        <v>-0.14837798567836821</v>
      </c>
      <c r="Z270">
        <f t="shared" si="63"/>
        <v>-0.13892529035966311</v>
      </c>
      <c r="AA270">
        <f t="shared" si="64"/>
        <v>-0.1168148937201608</v>
      </c>
      <c r="AB270">
        <f t="shared" si="65"/>
        <v>-0.22537001477744556</v>
      </c>
      <c r="AC270">
        <f t="shared" si="66"/>
        <v>-0.16297736545466524</v>
      </c>
      <c r="AD270">
        <f t="shared" si="67"/>
        <v>-2.7657825800696412E-2</v>
      </c>
      <c r="AE270">
        <f t="shared" si="68"/>
        <v>-0.1165219984310181</v>
      </c>
      <c r="AF270">
        <f t="shared" si="69"/>
        <v>-3.439416538541365E-3</v>
      </c>
      <c r="AG270">
        <f t="shared" si="70"/>
        <v>-0.17888859599588774</v>
      </c>
      <c r="AH270">
        <f t="shared" si="71"/>
        <v>-0.19106998816824133</v>
      </c>
      <c r="AI270">
        <f t="shared" si="72"/>
        <v>-0.13952061330616553</v>
      </c>
      <c r="AJ270">
        <f t="shared" si="79"/>
        <v>-0.14016002186219789</v>
      </c>
      <c r="AK270">
        <f t="shared" si="73"/>
        <v>-8.008011915521808E-2</v>
      </c>
      <c r="AL270">
        <f t="shared" si="74"/>
        <v>-0.11645921204748681</v>
      </c>
      <c r="AM270">
        <f t="shared" si="75"/>
        <v>-5.3120439811741957E-2</v>
      </c>
      <c r="AN270">
        <f t="shared" si="76"/>
        <v>2.926169028353208E-2</v>
      </c>
    </row>
    <row r="271" spans="1:40">
      <c r="A271" s="37">
        <v>44713</v>
      </c>
      <c r="B271" s="1">
        <v>6.6674009999999999</v>
      </c>
      <c r="C271" s="1">
        <v>28.403955</v>
      </c>
      <c r="D271" s="1">
        <v>102.749809</v>
      </c>
      <c r="E271" s="1">
        <v>40.367816999999995</v>
      </c>
      <c r="F271" s="1">
        <v>82.569289999999995</v>
      </c>
      <c r="G271" s="1">
        <v>15.83024</v>
      </c>
      <c r="H271" s="1">
        <v>285.374908</v>
      </c>
      <c r="I271" s="1">
        <v>131.50878900000001</v>
      </c>
      <c r="J271" s="1">
        <v>91.809569999999994</v>
      </c>
      <c r="K271" s="1">
        <v>43.364982999999995</v>
      </c>
      <c r="L271" s="1">
        <v>132.54096999999999</v>
      </c>
      <c r="M271" s="1">
        <v>26.810368999999998</v>
      </c>
      <c r="N271" s="1">
        <v>35.738563999999997</v>
      </c>
      <c r="O271" s="1">
        <v>56.194686999999995</v>
      </c>
      <c r="P271" s="1">
        <v>134.27848799999998</v>
      </c>
      <c r="Q271" s="1">
        <v>106.209999</v>
      </c>
      <c r="R271" s="1">
        <v>250.065292</v>
      </c>
      <c r="S271" s="1">
        <v>123.499977</v>
      </c>
      <c r="V271" s="37">
        <v>44713</v>
      </c>
      <c r="W271">
        <f t="shared" si="77"/>
        <v>2.4999846266933707E-2</v>
      </c>
      <c r="X271">
        <f t="shared" si="78"/>
        <v>9.2346470764370636E-2</v>
      </c>
      <c r="Y271">
        <f t="shared" si="62"/>
        <v>2.4420794787073496E-2</v>
      </c>
      <c r="Z271">
        <f t="shared" si="63"/>
        <v>0.12850620582232636</v>
      </c>
      <c r="AA271">
        <f t="shared" si="64"/>
        <v>4.7311706325681074E-2</v>
      </c>
      <c r="AB271">
        <f t="shared" si="65"/>
        <v>-2.9344532995077832E-2</v>
      </c>
      <c r="AC271">
        <f t="shared" si="66"/>
        <v>0.15016171989444835</v>
      </c>
      <c r="AD271">
        <f t="shared" si="67"/>
        <v>-3.3938096715345825E-2</v>
      </c>
      <c r="AE271">
        <f t="shared" si="68"/>
        <v>-6.5363131534109178E-2</v>
      </c>
      <c r="AF271">
        <f t="shared" si="69"/>
        <v>-3.6620330278925729E-2</v>
      </c>
      <c r="AG271">
        <f t="shared" si="70"/>
        <v>0.1152532081212324</v>
      </c>
      <c r="AH271">
        <f t="shared" si="71"/>
        <v>0.1451615604395449</v>
      </c>
      <c r="AI271">
        <f t="shared" si="72"/>
        <v>0.11998962801079534</v>
      </c>
      <c r="AJ271">
        <f t="shared" si="79"/>
        <v>-9.3014843200389073E-3</v>
      </c>
      <c r="AK271">
        <f t="shared" si="73"/>
        <v>0.18863350620987054</v>
      </c>
      <c r="AL271">
        <f t="shared" si="74"/>
        <v>0.2705959727953674</v>
      </c>
      <c r="AM271">
        <f t="shared" si="75"/>
        <v>9.3096722115278599E-2</v>
      </c>
      <c r="AN271">
        <f t="shared" si="76"/>
        <v>-7.3659625054019282E-2</v>
      </c>
    </row>
    <row r="272" spans="1:40">
      <c r="A272" s="37">
        <v>44743</v>
      </c>
      <c r="B272" s="1">
        <v>6.834085</v>
      </c>
      <c r="C272" s="1">
        <v>31.026959999999999</v>
      </c>
      <c r="D272" s="1">
        <v>105.259041</v>
      </c>
      <c r="E272" s="1">
        <v>45.555332</v>
      </c>
      <c r="F272" s="1">
        <v>86.47578399999999</v>
      </c>
      <c r="G272" s="1">
        <v>15.365708999999999</v>
      </c>
      <c r="H272" s="1">
        <v>328.22729499999997</v>
      </c>
      <c r="I272" s="1">
        <v>127.045631</v>
      </c>
      <c r="J272" s="1">
        <v>85.80860899999999</v>
      </c>
      <c r="K272" s="1">
        <v>41.776942999999996</v>
      </c>
      <c r="L272" s="1">
        <v>147.816742</v>
      </c>
      <c r="M272" s="1">
        <v>30.702203999999998</v>
      </c>
      <c r="N272" s="1">
        <v>40.026820999999998</v>
      </c>
      <c r="O272" s="1">
        <v>55.671993000000001</v>
      </c>
      <c r="P272" s="1">
        <v>159.60791</v>
      </c>
      <c r="Q272" s="1">
        <v>134.949997</v>
      </c>
      <c r="R272" s="1">
        <v>273.345551</v>
      </c>
      <c r="S272" s="1">
        <v>114.403015</v>
      </c>
      <c r="V272" s="37">
        <v>44743</v>
      </c>
      <c r="W272">
        <f t="shared" si="77"/>
        <v>0</v>
      </c>
      <c r="X272">
        <f t="shared" si="78"/>
        <v>-5.9156939642169186E-3</v>
      </c>
      <c r="Y272">
        <f t="shared" si="62"/>
        <v>-5.4089795478946172E-3</v>
      </c>
      <c r="Z272">
        <f t="shared" si="63"/>
        <v>-5.0263688123269583E-2</v>
      </c>
      <c r="AA272">
        <f t="shared" si="64"/>
        <v>-7.4119628681250105E-2</v>
      </c>
      <c r="AB272">
        <f t="shared" si="65"/>
        <v>-1.8697022050853628E-2</v>
      </c>
      <c r="AC272">
        <f t="shared" si="66"/>
        <v>6.4310492520130116E-2</v>
      </c>
      <c r="AD272">
        <f t="shared" si="67"/>
        <v>-5.3638208149008472E-4</v>
      </c>
      <c r="AE272">
        <f t="shared" si="68"/>
        <v>-9.4831953283381995E-2</v>
      </c>
      <c r="AF272">
        <f t="shared" si="69"/>
        <v>-9.7585407338205629E-2</v>
      </c>
      <c r="AG272">
        <f t="shared" si="70"/>
        <v>-1.3115293800752277E-2</v>
      </c>
      <c r="AH272">
        <f t="shared" si="71"/>
        <v>-4.2795982985456039E-2</v>
      </c>
      <c r="AI272">
        <f t="shared" si="72"/>
        <v>-3.6470795419900831E-3</v>
      </c>
      <c r="AJ272">
        <f t="shared" si="79"/>
        <v>1.0245367001680465E-3</v>
      </c>
      <c r="AK272">
        <f t="shared" si="73"/>
        <v>-3.2551613513390545E-2</v>
      </c>
      <c r="AL272">
        <f t="shared" si="74"/>
        <v>-6.0615043955873575E-2</v>
      </c>
      <c r="AM272">
        <f t="shared" si="75"/>
        <v>-6.8640158697882023E-2</v>
      </c>
      <c r="AN272">
        <f t="shared" si="76"/>
        <v>-1.7891128131544497E-2</v>
      </c>
    </row>
    <row r="273" spans="1:40">
      <c r="A273" s="37">
        <v>44774</v>
      </c>
      <c r="B273" s="1">
        <v>6.834085</v>
      </c>
      <c r="C273" s="1">
        <v>30.843413999999999</v>
      </c>
      <c r="D273" s="1">
        <v>104.689697</v>
      </c>
      <c r="E273" s="1">
        <v>43.265552999999997</v>
      </c>
      <c r="F273" s="1">
        <v>80.066231000000002</v>
      </c>
      <c r="G273" s="1">
        <v>15.078415999999999</v>
      </c>
      <c r="H273" s="1">
        <v>349.33575400000001</v>
      </c>
      <c r="I273" s="1">
        <v>126.977486</v>
      </c>
      <c r="J273" s="1">
        <v>77.671211</v>
      </c>
      <c r="K273" s="1">
        <v>37.700122999999998</v>
      </c>
      <c r="L273" s="1">
        <v>145.87808200000001</v>
      </c>
      <c r="M273" s="1">
        <v>29.388272999999998</v>
      </c>
      <c r="N273" s="1">
        <v>39.880839999999999</v>
      </c>
      <c r="O273" s="1">
        <v>55.729030999999999</v>
      </c>
      <c r="P273" s="1">
        <v>154.41241499999998</v>
      </c>
      <c r="Q273" s="1">
        <v>126.76999699999999</v>
      </c>
      <c r="R273" s="1">
        <v>254.58306899999999</v>
      </c>
      <c r="S273" s="1">
        <v>112.35621599999999</v>
      </c>
      <c r="V273" s="37">
        <v>44774</v>
      </c>
      <c r="W273">
        <f t="shared" si="77"/>
        <v>-0.16782290533407179</v>
      </c>
      <c r="X273">
        <f t="shared" si="78"/>
        <v>-0.10145783472607799</v>
      </c>
      <c r="Y273">
        <f t="shared" si="62"/>
        <v>-8.1157269946057833E-2</v>
      </c>
      <c r="Z273">
        <f t="shared" si="63"/>
        <v>-0.14628175444793229</v>
      </c>
      <c r="AA273">
        <f t="shared" si="64"/>
        <v>-4.9870025729074313E-2</v>
      </c>
      <c r="AB273">
        <f t="shared" si="65"/>
        <v>-9.5265576967766344E-2</v>
      </c>
      <c r="AC273">
        <f t="shared" si="66"/>
        <v>-8.5858921271482674E-2</v>
      </c>
      <c r="AD273">
        <f t="shared" si="67"/>
        <v>-8.4747023578652367E-2</v>
      </c>
      <c r="AE273">
        <f t="shared" si="68"/>
        <v>-0.14631117313208877</v>
      </c>
      <c r="AF273">
        <f t="shared" si="69"/>
        <v>-3.2500716244347597E-2</v>
      </c>
      <c r="AG273">
        <f t="shared" si="70"/>
        <v>-0.11243400499329295</v>
      </c>
      <c r="AH273">
        <f t="shared" si="71"/>
        <v>-5.7067797076745516E-2</v>
      </c>
      <c r="AI273">
        <f t="shared" si="72"/>
        <v>-7.3511440581492379E-2</v>
      </c>
      <c r="AJ273">
        <f t="shared" si="79"/>
        <v>-4.6782636504122989E-2</v>
      </c>
      <c r="AK273">
        <f t="shared" si="73"/>
        <v>-0.11975605717972863</v>
      </c>
      <c r="AL273">
        <f t="shared" si="74"/>
        <v>-0.1086218926076017</v>
      </c>
      <c r="AM273">
        <f t="shared" si="75"/>
        <v>-0.10737603685655935</v>
      </c>
      <c r="AN273">
        <f t="shared" si="76"/>
        <v>-6.3394961610312647E-2</v>
      </c>
    </row>
    <row r="274" spans="1:40">
      <c r="A274" s="37">
        <v>44805</v>
      </c>
      <c r="B274" s="1">
        <v>5.6871689999999999</v>
      </c>
      <c r="C274" s="1">
        <v>27.714108</v>
      </c>
      <c r="D274" s="1">
        <v>96.193366999999995</v>
      </c>
      <c r="E274" s="1">
        <v>36.936591999999997</v>
      </c>
      <c r="F274" s="1">
        <v>76.073325999999994</v>
      </c>
      <c r="G274" s="1">
        <v>13.641961999999999</v>
      </c>
      <c r="H274" s="1">
        <v>319.34216299999997</v>
      </c>
      <c r="I274" s="1">
        <v>116.216522</v>
      </c>
      <c r="J274" s="1">
        <v>66.307045000000002</v>
      </c>
      <c r="K274" s="1">
        <v>36.474841999999995</v>
      </c>
      <c r="L274" s="1">
        <v>129.47642500000001</v>
      </c>
      <c r="M274" s="1">
        <v>27.711148999999999</v>
      </c>
      <c r="N274" s="1">
        <v>36.949141999999995</v>
      </c>
      <c r="O274" s="1">
        <v>53.121879999999997</v>
      </c>
      <c r="P274" s="1">
        <v>135.920593</v>
      </c>
      <c r="Q274" s="1">
        <v>113</v>
      </c>
      <c r="R274" s="1">
        <v>227.246948</v>
      </c>
      <c r="S274" s="1">
        <v>105.23339799999999</v>
      </c>
      <c r="V274" s="37">
        <v>44805</v>
      </c>
      <c r="W274">
        <f t="shared" si="77"/>
        <v>8.1250091214099637E-2</v>
      </c>
      <c r="X274">
        <f t="shared" si="78"/>
        <v>0.20124039352087389</v>
      </c>
      <c r="Y274">
        <f t="shared" ref="Y274:Y299" si="80">(D275-D274)/D274</f>
        <v>0.20459322314811995</v>
      </c>
      <c r="Z274">
        <f t="shared" ref="Z274:Z299" si="81">(E275-E274)/E274</f>
        <v>0.1005520487650837</v>
      </c>
      <c r="AA274">
        <f t="shared" ref="AA274:AA299" si="82">(F275-F274)/F274</f>
        <v>5.0661699739538185E-2</v>
      </c>
      <c r="AB274">
        <f t="shared" ref="AB274:AB299" si="83">(G275-G274)/G274</f>
        <v>0.3429547743938885</v>
      </c>
      <c r="AC274">
        <f t="shared" ref="AC274:AC299" si="84">(H275-H274)/H274</f>
        <v>0.1893654800603328</v>
      </c>
      <c r="AD274">
        <f t="shared" ref="AD274:AD299" si="85">(I275-I274)/I274</f>
        <v>6.6692961264147921E-2</v>
      </c>
      <c r="AE274">
        <f t="shared" ref="AE274:AE299" si="86">(J275-J274)/J274</f>
        <v>5.3220936025726855E-2</v>
      </c>
      <c r="AF274">
        <f t="shared" ref="AF274:AF299" si="87">(K275-K274)/K274</f>
        <v>6.3756904005231999E-2</v>
      </c>
      <c r="AG274">
        <f t="shared" ref="AG274:AG299" si="88">(L275-L274)/L274</f>
        <v>0.10036313560557439</v>
      </c>
      <c r="AH274">
        <f t="shared" ref="AH274:AH299" si="89">(M275-M274)/M274</f>
        <v>7.3044968290560414E-3</v>
      </c>
      <c r="AI274">
        <f t="shared" ref="AI274:AI299" si="90">(N275-N274)/N274</f>
        <v>0.14346073313420935</v>
      </c>
      <c r="AJ274">
        <f t="shared" si="79"/>
        <v>4.3371827201898701E-2</v>
      </c>
      <c r="AK274">
        <f t="shared" si="73"/>
        <v>0.10955150114743822</v>
      </c>
      <c r="AL274">
        <f t="shared" si="74"/>
        <v>-9.3451309734513335E-2</v>
      </c>
      <c r="AM274">
        <f t="shared" si="75"/>
        <v>-3.3062138198661456E-3</v>
      </c>
      <c r="AN274">
        <f t="shared" si="76"/>
        <v>0.1639592689005443</v>
      </c>
    </row>
    <row r="275" spans="1:40">
      <c r="A275" s="37">
        <v>44835</v>
      </c>
      <c r="B275" s="1">
        <v>6.1492519999999997</v>
      </c>
      <c r="C275" s="1">
        <v>33.291305999999999</v>
      </c>
      <c r="D275" s="1">
        <v>115.87387799999999</v>
      </c>
      <c r="E275" s="1">
        <v>40.650641999999998</v>
      </c>
      <c r="F275" s="1">
        <v>79.927329999999998</v>
      </c>
      <c r="G275" s="1">
        <v>18.320537999999999</v>
      </c>
      <c r="H275" s="1">
        <v>379.81454500000001</v>
      </c>
      <c r="I275" s="1">
        <v>123.96734599999999</v>
      </c>
      <c r="J275" s="1">
        <v>69.835967999999994</v>
      </c>
      <c r="K275" s="1">
        <v>38.800364999999999</v>
      </c>
      <c r="L275" s="1">
        <v>142.47108499999999</v>
      </c>
      <c r="M275" s="1">
        <v>27.913564999999998</v>
      </c>
      <c r="N275" s="1">
        <v>42.249893</v>
      </c>
      <c r="O275" s="1">
        <v>55.425872999999996</v>
      </c>
      <c r="P275" s="1">
        <v>150.81089799999998</v>
      </c>
      <c r="Q275" s="1">
        <v>102.44000199999999</v>
      </c>
      <c r="R275" s="1">
        <v>226.495621</v>
      </c>
      <c r="S275" s="1">
        <v>122.48738899999999</v>
      </c>
      <c r="V275" s="37">
        <v>44835</v>
      </c>
      <c r="W275">
        <f t="shared" si="77"/>
        <v>0.14884395695606556</v>
      </c>
      <c r="X275">
        <f t="shared" si="78"/>
        <v>5.0221850713816997E-2</v>
      </c>
      <c r="Y275">
        <f t="shared" si="80"/>
        <v>0.10753333896359286</v>
      </c>
      <c r="Z275">
        <f t="shared" si="81"/>
        <v>5.5603992674949573E-2</v>
      </c>
      <c r="AA275">
        <f t="shared" si="82"/>
        <v>7.4136844055719173E-2</v>
      </c>
      <c r="AB275">
        <f t="shared" si="83"/>
        <v>0.12709845092977073</v>
      </c>
      <c r="AC275">
        <f t="shared" si="84"/>
        <v>0.11414294047111853</v>
      </c>
      <c r="AD275">
        <f t="shared" si="85"/>
        <v>0.11545711400484457</v>
      </c>
      <c r="AE275">
        <f t="shared" si="86"/>
        <v>4.11519462291981E-2</v>
      </c>
      <c r="AF275">
        <f t="shared" si="87"/>
        <v>7.6906544564722443E-2</v>
      </c>
      <c r="AG275">
        <f t="shared" si="88"/>
        <v>6.562193303995692E-2</v>
      </c>
      <c r="AH275">
        <f t="shared" si="89"/>
        <v>0.26933016259299009</v>
      </c>
      <c r="AI275">
        <f t="shared" si="90"/>
        <v>4.261781207351225E-2</v>
      </c>
      <c r="AJ275">
        <f t="shared" si="79"/>
        <v>5.3699289499689155E-2</v>
      </c>
      <c r="AK275">
        <f t="shared" si="73"/>
        <v>-3.4629281234039071E-2</v>
      </c>
      <c r="AL275">
        <f t="shared" si="74"/>
        <v>-5.7594698211739626E-2</v>
      </c>
      <c r="AM275">
        <f t="shared" si="75"/>
        <v>9.912556764176908E-2</v>
      </c>
      <c r="AN275">
        <f t="shared" si="76"/>
        <v>7.6722918797787379E-2</v>
      </c>
    </row>
    <row r="276" spans="1:40">
      <c r="A276" s="37">
        <v>44866</v>
      </c>
      <c r="B276" s="1">
        <v>7.0645309999999997</v>
      </c>
      <c r="C276" s="1">
        <v>34.963256999999999</v>
      </c>
      <c r="D276" s="1">
        <v>128.334183</v>
      </c>
      <c r="E276" s="1">
        <v>42.910979999999995</v>
      </c>
      <c r="F276" s="1">
        <v>85.852890000000002</v>
      </c>
      <c r="G276" s="1">
        <v>20.649049999999999</v>
      </c>
      <c r="H276" s="1">
        <v>423.16769399999998</v>
      </c>
      <c r="I276" s="1">
        <v>138.280258</v>
      </c>
      <c r="J276" s="1">
        <v>72.709853999999993</v>
      </c>
      <c r="K276" s="1">
        <v>41.784366999999996</v>
      </c>
      <c r="L276" s="1">
        <v>151.820313</v>
      </c>
      <c r="M276" s="1">
        <v>35.431529999999995</v>
      </c>
      <c r="N276" s="1">
        <v>44.050491000000001</v>
      </c>
      <c r="O276" s="1">
        <v>58.402203</v>
      </c>
      <c r="P276" s="1">
        <v>145.588425</v>
      </c>
      <c r="Q276" s="1">
        <v>96.54000099999999</v>
      </c>
      <c r="R276" s="1">
        <v>248.94712799999999</v>
      </c>
      <c r="S276" s="1">
        <v>131.88497899999999</v>
      </c>
      <c r="V276" s="37">
        <v>44866</v>
      </c>
      <c r="W276">
        <f t="shared" si="77"/>
        <v>-1.8867919186708944E-2</v>
      </c>
      <c r="X276">
        <f t="shared" si="78"/>
        <v>-0.1249668473391938</v>
      </c>
      <c r="Y276">
        <f t="shared" si="80"/>
        <v>-2.9526692821973979E-2</v>
      </c>
      <c r="Z276">
        <f t="shared" si="81"/>
        <v>-5.4876420906723525E-2</v>
      </c>
      <c r="AA276">
        <f t="shared" si="82"/>
        <v>-7.3903907020485868E-2</v>
      </c>
      <c r="AB276">
        <f t="shared" si="83"/>
        <v>-0.12127666890244349</v>
      </c>
      <c r="AC276">
        <f t="shared" si="84"/>
        <v>-2.7755230766741835E-2</v>
      </c>
      <c r="AD276">
        <f t="shared" si="85"/>
        <v>1.6090113167130417E-2</v>
      </c>
      <c r="AE276">
        <f t="shared" si="86"/>
        <v>-7.1538075155535244E-2</v>
      </c>
      <c r="AF276">
        <f t="shared" si="87"/>
        <v>3.0903208369771451E-2</v>
      </c>
      <c r="AG276">
        <f t="shared" si="88"/>
        <v>-6.2440504914516942E-2</v>
      </c>
      <c r="AH276">
        <f t="shared" si="89"/>
        <v>-0.11432469893340758</v>
      </c>
      <c r="AI276">
        <f t="shared" si="90"/>
        <v>-0.13334845688780181</v>
      </c>
      <c r="AJ276">
        <f t="shared" si="79"/>
        <v>-2.9667237038986397E-2</v>
      </c>
      <c r="AK276">
        <f t="shared" si="73"/>
        <v>-0.12081630115855709</v>
      </c>
      <c r="AL276">
        <f t="shared" si="74"/>
        <v>-0.12989435332614085</v>
      </c>
      <c r="AM276">
        <f t="shared" si="75"/>
        <v>-5.7396568961422229E-2</v>
      </c>
      <c r="AN276">
        <f t="shared" si="76"/>
        <v>-4.2512946072501466E-2</v>
      </c>
    </row>
    <row r="277" spans="1:40">
      <c r="A277" s="37">
        <v>44896</v>
      </c>
      <c r="B277" s="1">
        <v>6.9312379999999996</v>
      </c>
      <c r="C277" s="1">
        <v>30.594009</v>
      </c>
      <c r="D277" s="1">
        <v>124.544899</v>
      </c>
      <c r="E277" s="1">
        <v>40.556179</v>
      </c>
      <c r="F277" s="1">
        <v>79.508026000000001</v>
      </c>
      <c r="G277" s="1">
        <v>18.144801999999999</v>
      </c>
      <c r="H277" s="1">
        <v>411.42257699999999</v>
      </c>
      <c r="I277" s="1">
        <v>140.50520299999999</v>
      </c>
      <c r="J277" s="1">
        <v>67.508330999999998</v>
      </c>
      <c r="K277" s="1">
        <v>43.075637999999998</v>
      </c>
      <c r="L277" s="1">
        <v>142.340576</v>
      </c>
      <c r="M277" s="1">
        <v>31.380830999999997</v>
      </c>
      <c r="N277" s="1">
        <v>38.176425999999999</v>
      </c>
      <c r="O277" s="1">
        <v>56.669570999999998</v>
      </c>
      <c r="P277" s="1">
        <v>127.99897</v>
      </c>
      <c r="Q277" s="1">
        <v>84</v>
      </c>
      <c r="R277" s="1">
        <v>234.65841699999999</v>
      </c>
      <c r="S277" s="1">
        <v>126.27816</v>
      </c>
      <c r="V277" s="37">
        <v>44896</v>
      </c>
      <c r="W277">
        <f t="shared" si="77"/>
        <v>0.18974344842869342</v>
      </c>
      <c r="X277">
        <f t="shared" si="78"/>
        <v>7.7519000533731966E-2</v>
      </c>
      <c r="Y277">
        <f t="shared" si="80"/>
        <v>4.3698835068307205E-2</v>
      </c>
      <c r="Z277">
        <f t="shared" si="81"/>
        <v>0.15454328180176935</v>
      </c>
      <c r="AA277">
        <f t="shared" si="82"/>
        <v>0.11081695073148957</v>
      </c>
      <c r="AB277">
        <f t="shared" si="83"/>
        <v>0.15278529906250848</v>
      </c>
      <c r="AC277">
        <f t="shared" si="84"/>
        <v>-1.1048477293456836E-2</v>
      </c>
      <c r="AD277">
        <f t="shared" si="85"/>
        <v>-6.0570262298400408E-2</v>
      </c>
      <c r="AE277">
        <f t="shared" si="86"/>
        <v>0.18889790061614772</v>
      </c>
      <c r="AF277">
        <f t="shared" si="87"/>
        <v>-0.13817332200628113</v>
      </c>
      <c r="AG277">
        <f t="shared" si="88"/>
        <v>0.18395921061890311</v>
      </c>
      <c r="AH277">
        <f t="shared" si="89"/>
        <v>7.3321002875927799E-2</v>
      </c>
      <c r="AI277">
        <f t="shared" si="90"/>
        <v>0.13514146138247712</v>
      </c>
      <c r="AJ277">
        <f t="shared" si="79"/>
        <v>6.8869499647350438E-2</v>
      </c>
      <c r="AK277">
        <f t="shared" si="73"/>
        <v>0.1105210768492903</v>
      </c>
      <c r="AL277">
        <f t="shared" si="74"/>
        <v>0.22773805952380938</v>
      </c>
      <c r="AM277">
        <f t="shared" si="75"/>
        <v>3.331661016020581E-2</v>
      </c>
      <c r="AN277">
        <f t="shared" si="76"/>
        <v>-4.3722239855252872E-2</v>
      </c>
    </row>
    <row r="278" spans="1:40">
      <c r="A278" s="37">
        <v>44927</v>
      </c>
      <c r="B278" s="1">
        <v>8.2463949999999997</v>
      </c>
      <c r="C278" s="1">
        <v>32.965626</v>
      </c>
      <c r="D278" s="1">
        <v>129.98736599999998</v>
      </c>
      <c r="E278" s="1">
        <v>46.823864</v>
      </c>
      <c r="F278" s="1">
        <v>88.318862999999993</v>
      </c>
      <c r="G278" s="1">
        <v>20.917061</v>
      </c>
      <c r="H278" s="1">
        <v>406.87698399999999</v>
      </c>
      <c r="I278" s="1">
        <v>131.994766</v>
      </c>
      <c r="J278" s="1">
        <v>80.260513000000003</v>
      </c>
      <c r="K278" s="1">
        <v>37.123733999999999</v>
      </c>
      <c r="L278" s="1">
        <v>168.52543599999998</v>
      </c>
      <c r="M278" s="1">
        <v>33.681705000000001</v>
      </c>
      <c r="N278" s="1">
        <v>43.335643999999995</v>
      </c>
      <c r="O278" s="1">
        <v>60.572375999999998</v>
      </c>
      <c r="P278" s="1">
        <v>142.145554</v>
      </c>
      <c r="Q278" s="1">
        <v>103.12999699999999</v>
      </c>
      <c r="R278" s="1">
        <v>242.47644</v>
      </c>
      <c r="S278" s="1">
        <v>120.756996</v>
      </c>
      <c r="V278" s="37">
        <v>44927</v>
      </c>
      <c r="W278">
        <f t="shared" si="77"/>
        <v>-8.8362005458142601E-2</v>
      </c>
      <c r="X278">
        <f t="shared" si="78"/>
        <v>-3.3258006385196548E-2</v>
      </c>
      <c r="Y278">
        <f t="shared" si="80"/>
        <v>3.1786673791051379E-2</v>
      </c>
      <c r="Z278">
        <f t="shared" si="81"/>
        <v>-2.929929063521974E-2</v>
      </c>
      <c r="AA278">
        <f t="shared" si="82"/>
        <v>-4.8364866291360643E-2</v>
      </c>
      <c r="AB278">
        <f t="shared" si="83"/>
        <v>-0.13415130356984664</v>
      </c>
      <c r="AC278">
        <f t="shared" si="84"/>
        <v>-8.5138288382515682E-3</v>
      </c>
      <c r="AD278">
        <f t="shared" si="85"/>
        <v>-2.7790473146488189E-2</v>
      </c>
      <c r="AE278">
        <f t="shared" si="86"/>
        <v>-4.1428603876479224E-2</v>
      </c>
      <c r="AF278">
        <f t="shared" si="87"/>
        <v>-7.2861097431632244E-2</v>
      </c>
      <c r="AG278">
        <f t="shared" si="88"/>
        <v>-1.9259347888587975E-3</v>
      </c>
      <c r="AH278">
        <f t="shared" si="89"/>
        <v>0.10812398006573587</v>
      </c>
      <c r="AI278">
        <f t="shared" si="90"/>
        <v>-2.1334170088714737E-3</v>
      </c>
      <c r="AJ278">
        <f t="shared" si="79"/>
        <v>-2.806510347224947E-2</v>
      </c>
      <c r="AK278">
        <f t="shared" si="73"/>
        <v>2.1623286226736125E-2</v>
      </c>
      <c r="AL278">
        <f t="shared" si="74"/>
        <v>-8.629879044794303E-2</v>
      </c>
      <c r="AM278">
        <f t="shared" si="75"/>
        <v>6.4969776032672661E-3</v>
      </c>
      <c r="AN278">
        <f t="shared" si="76"/>
        <v>-4.0302667018977598E-2</v>
      </c>
    </row>
    <row r="279" spans="1:40">
      <c r="A279" s="37">
        <v>44958</v>
      </c>
      <c r="B279" s="1">
        <v>7.5177269999999998</v>
      </c>
      <c r="C279" s="1">
        <v>31.869254999999999</v>
      </c>
      <c r="D279" s="1">
        <v>134.11923199999998</v>
      </c>
      <c r="E279" s="1">
        <v>45.451957999999998</v>
      </c>
      <c r="F279" s="1">
        <v>84.047332999999995</v>
      </c>
      <c r="G279" s="1">
        <v>18.11101</v>
      </c>
      <c r="H279" s="1">
        <v>403.41290299999997</v>
      </c>
      <c r="I279" s="1">
        <v>128.32656900000001</v>
      </c>
      <c r="J279" s="1">
        <v>76.935431999999992</v>
      </c>
      <c r="K279" s="1">
        <v>34.418858</v>
      </c>
      <c r="L279" s="1">
        <v>168.20086699999999</v>
      </c>
      <c r="M279" s="1">
        <v>37.323504999999997</v>
      </c>
      <c r="N279" s="1">
        <v>43.243190999999996</v>
      </c>
      <c r="O279" s="1">
        <v>58.872405999999998</v>
      </c>
      <c r="P279" s="1">
        <v>145.21920799999998</v>
      </c>
      <c r="Q279" s="1">
        <v>94.230002999999996</v>
      </c>
      <c r="R279" s="1">
        <v>244.05180399999998</v>
      </c>
      <c r="S279" s="1">
        <v>115.89016699999999</v>
      </c>
      <c r="V279" s="37">
        <v>44958</v>
      </c>
      <c r="W279">
        <f t="shared" si="77"/>
        <v>-0.12456730604875647</v>
      </c>
      <c r="X279">
        <f t="shared" si="78"/>
        <v>-0.16618097912863045</v>
      </c>
      <c r="Y279">
        <f t="shared" si="80"/>
        <v>-9.0966200880124234E-2</v>
      </c>
      <c r="Z279">
        <f t="shared" si="81"/>
        <v>-6.5842025991487543E-2</v>
      </c>
      <c r="AA279">
        <f t="shared" si="82"/>
        <v>-5.9624449951314877E-2</v>
      </c>
      <c r="AB279">
        <f t="shared" si="83"/>
        <v>-0.14516131347727157</v>
      </c>
      <c r="AC279">
        <f t="shared" si="84"/>
        <v>-1.5170397264164852E-2</v>
      </c>
      <c r="AD279">
        <f t="shared" si="85"/>
        <v>8.0910360815459784E-2</v>
      </c>
      <c r="AE279">
        <f t="shared" si="86"/>
        <v>-5.8754879026350258E-2</v>
      </c>
      <c r="AF279">
        <f t="shared" si="87"/>
        <v>5.6692467832605443E-3</v>
      </c>
      <c r="AG279">
        <f t="shared" si="88"/>
        <v>-5.1957092468494816E-2</v>
      </c>
      <c r="AH279">
        <f t="shared" si="89"/>
        <v>9.8701877007531316E-3</v>
      </c>
      <c r="AI279">
        <f t="shared" si="90"/>
        <v>-0.19567168389585304</v>
      </c>
      <c r="AJ279">
        <f t="shared" si="79"/>
        <v>-9.9924912190611045E-2</v>
      </c>
      <c r="AK279">
        <f t="shared" si="73"/>
        <v>0.12035658533546069</v>
      </c>
      <c r="AL279">
        <f t="shared" si="74"/>
        <v>9.6147699369170073E-2</v>
      </c>
      <c r="AM279">
        <f t="shared" si="75"/>
        <v>0.15877657679596593</v>
      </c>
      <c r="AN279">
        <f t="shared" si="76"/>
        <v>2.6296786680788893E-2</v>
      </c>
    </row>
    <row r="280" spans="1:40">
      <c r="A280" s="37">
        <v>44986</v>
      </c>
      <c r="B280" s="1">
        <v>6.581264</v>
      </c>
      <c r="C280" s="1">
        <v>26.573190999999998</v>
      </c>
      <c r="D280" s="1">
        <v>121.918915</v>
      </c>
      <c r="E280" s="1">
        <v>42.459308999999998</v>
      </c>
      <c r="F280" s="1">
        <v>79.036057</v>
      </c>
      <c r="G280" s="1">
        <v>15.481992</v>
      </c>
      <c r="H280" s="1">
        <v>397.29296899999997</v>
      </c>
      <c r="I280" s="1">
        <v>138.709518</v>
      </c>
      <c r="J280" s="1">
        <v>72.415099999999995</v>
      </c>
      <c r="K280" s="1">
        <v>34.613987000000002</v>
      </c>
      <c r="L280" s="1">
        <v>159.46163899999999</v>
      </c>
      <c r="M280" s="1">
        <v>37.691894999999995</v>
      </c>
      <c r="N280" s="1">
        <v>34.781723</v>
      </c>
      <c r="O280" s="1">
        <v>52.989585999999996</v>
      </c>
      <c r="P280" s="1">
        <v>162.69729599999999</v>
      </c>
      <c r="Q280" s="1">
        <v>103.29000099999999</v>
      </c>
      <c r="R280" s="1">
        <v>282.801514</v>
      </c>
      <c r="S280" s="1">
        <v>118.93770599999999</v>
      </c>
      <c r="V280" s="37">
        <v>44986</v>
      </c>
      <c r="W280">
        <f t="shared" si="77"/>
        <v>0.12239214229971623</v>
      </c>
      <c r="X280">
        <f t="shared" si="78"/>
        <v>3.041644490494208E-2</v>
      </c>
      <c r="Y280">
        <f t="shared" si="80"/>
        <v>6.085497069917338E-2</v>
      </c>
      <c r="Z280">
        <f t="shared" si="81"/>
        <v>3.83882837094682E-3</v>
      </c>
      <c r="AA280">
        <f t="shared" si="82"/>
        <v>1.2119797423598606E-2</v>
      </c>
      <c r="AB280">
        <f t="shared" si="83"/>
        <v>-5.7412767039280208E-2</v>
      </c>
      <c r="AC280">
        <f t="shared" si="84"/>
        <v>-8.156695066003046E-2</v>
      </c>
      <c r="AD280">
        <f t="shared" si="85"/>
        <v>5.171824618408663E-2</v>
      </c>
      <c r="AE280">
        <f t="shared" si="86"/>
        <v>8.1396145279092405E-2</v>
      </c>
      <c r="AF280">
        <f t="shared" si="87"/>
        <v>-4.6813647904819518E-2</v>
      </c>
      <c r="AG280">
        <f t="shared" si="88"/>
        <v>-2.1885501879232605E-2</v>
      </c>
      <c r="AH280">
        <f t="shared" si="89"/>
        <v>2.2376640919752108E-2</v>
      </c>
      <c r="AI280">
        <f t="shared" si="90"/>
        <v>6.340298322771408E-2</v>
      </c>
      <c r="AJ280">
        <f t="shared" si="79"/>
        <v>1.2186960660534395E-2</v>
      </c>
      <c r="AK280">
        <f t="shared" si="73"/>
        <v>2.8987211932520338E-2</v>
      </c>
      <c r="AL280">
        <f t="shared" si="74"/>
        <v>2.0911956424513996E-2</v>
      </c>
      <c r="AM280">
        <f t="shared" si="75"/>
        <v>6.5764920197704385E-2</v>
      </c>
      <c r="AN280">
        <f t="shared" si="76"/>
        <v>-3.5700596075057926E-2</v>
      </c>
    </row>
    <row r="281" spans="1:40">
      <c r="A281" s="37">
        <v>45017</v>
      </c>
      <c r="B281" s="1">
        <v>7.3867589999999996</v>
      </c>
      <c r="C281" s="1">
        <v>27.381453</v>
      </c>
      <c r="D281" s="1">
        <v>129.33828700000001</v>
      </c>
      <c r="E281" s="1">
        <v>42.622302999999995</v>
      </c>
      <c r="F281" s="1">
        <v>79.993957999999992</v>
      </c>
      <c r="G281" s="1">
        <v>14.593128</v>
      </c>
      <c r="H281" s="1">
        <v>364.88699299999996</v>
      </c>
      <c r="I281" s="1">
        <v>145.883331</v>
      </c>
      <c r="J281" s="1">
        <v>78.30941</v>
      </c>
      <c r="K281" s="1">
        <v>32.993580000000001</v>
      </c>
      <c r="L281" s="1">
        <v>155.97174099999998</v>
      </c>
      <c r="M281" s="1">
        <v>38.535312999999995</v>
      </c>
      <c r="N281" s="1">
        <v>36.986987999999997</v>
      </c>
      <c r="O281" s="1">
        <v>53.635368</v>
      </c>
      <c r="P281" s="1">
        <v>167.41343699999999</v>
      </c>
      <c r="Q281" s="1">
        <v>105.449997</v>
      </c>
      <c r="R281" s="1">
        <v>301.39993299999998</v>
      </c>
      <c r="S281" s="1">
        <v>114.691559</v>
      </c>
      <c r="V281" s="37">
        <v>45017</v>
      </c>
      <c r="W281">
        <f t="shared" si="77"/>
        <v>-6.8153570463040741E-2</v>
      </c>
      <c r="X281">
        <f t="shared" si="78"/>
        <v>-5.0888059154494202E-2</v>
      </c>
      <c r="Y281">
        <f t="shared" si="80"/>
        <v>-1.059711730989618E-2</v>
      </c>
      <c r="Z281">
        <f t="shared" si="81"/>
        <v>-4.8101084542522259E-2</v>
      </c>
      <c r="AA281">
        <f t="shared" si="82"/>
        <v>-6.4155370334344486E-2</v>
      </c>
      <c r="AB281">
        <f t="shared" si="83"/>
        <v>-0.16829853065086525</v>
      </c>
      <c r="AC281">
        <f t="shared" si="84"/>
        <v>-8.4757334718149321E-2</v>
      </c>
      <c r="AD281">
        <f t="shared" si="85"/>
        <v>-8.3052963741278921E-2</v>
      </c>
      <c r="AE281">
        <f t="shared" si="86"/>
        <v>-0.13168866934382467</v>
      </c>
      <c r="AF281">
        <f t="shared" si="87"/>
        <v>-2.2370836993136356E-2</v>
      </c>
      <c r="AG281">
        <f t="shared" si="88"/>
        <v>-1.3589730975689914E-2</v>
      </c>
      <c r="AH281">
        <f t="shared" si="89"/>
        <v>-0.10638836643158958</v>
      </c>
      <c r="AI281">
        <f t="shared" si="90"/>
        <v>1.5097201210329278E-3</v>
      </c>
      <c r="AJ281">
        <f t="shared" si="79"/>
        <v>-5.532748465527456E-2</v>
      </c>
      <c r="AK281">
        <f t="shared" si="73"/>
        <v>4.4613336502971411E-2</v>
      </c>
      <c r="AL281">
        <f t="shared" si="74"/>
        <v>0.14348037392547291</v>
      </c>
      <c r="AM281">
        <f t="shared" si="75"/>
        <v>6.8769159281797138E-2</v>
      </c>
      <c r="AN281">
        <f t="shared" si="76"/>
        <v>1.7245427799965581E-2</v>
      </c>
    </row>
    <row r="282" spans="1:40">
      <c r="A282" s="37">
        <v>45047</v>
      </c>
      <c r="B282" s="1">
        <v>6.8833249999999992</v>
      </c>
      <c r="C282" s="1">
        <v>25.988063999999998</v>
      </c>
      <c r="D282" s="1">
        <v>127.96767399999999</v>
      </c>
      <c r="E282" s="1">
        <v>40.572123999999995</v>
      </c>
      <c r="F282" s="1">
        <v>74.861915999999994</v>
      </c>
      <c r="G282" s="1">
        <v>12.137126</v>
      </c>
      <c r="H282" s="1">
        <v>333.96014399999996</v>
      </c>
      <c r="I282" s="1">
        <v>133.76728800000001</v>
      </c>
      <c r="J282" s="1">
        <v>67.996948000000003</v>
      </c>
      <c r="K282" s="1">
        <v>32.255485999999998</v>
      </c>
      <c r="L282" s="1">
        <v>153.852127</v>
      </c>
      <c r="M282" s="1">
        <v>34.435603999999998</v>
      </c>
      <c r="N282" s="1">
        <v>37.042828</v>
      </c>
      <c r="O282" s="1">
        <v>50.667857999999995</v>
      </c>
      <c r="P282" s="1">
        <v>174.88230899999999</v>
      </c>
      <c r="Q282" s="1">
        <v>120.58000199999999</v>
      </c>
      <c r="R282" s="1">
        <v>322.12695299999996</v>
      </c>
      <c r="S282" s="1">
        <v>116.66946399999999</v>
      </c>
      <c r="V282" s="37">
        <v>45047</v>
      </c>
      <c r="W282">
        <f t="shared" si="77"/>
        <v>4.5212887666934327E-2</v>
      </c>
      <c r="X282">
        <f t="shared" si="78"/>
        <v>3.2385713687637534E-2</v>
      </c>
      <c r="Y282">
        <f t="shared" si="80"/>
        <v>7.1697044364500986E-2</v>
      </c>
      <c r="Z282">
        <f t="shared" si="81"/>
        <v>3.8808690420052937E-2</v>
      </c>
      <c r="AA282">
        <f t="shared" si="82"/>
        <v>8.2723917993228993E-2</v>
      </c>
      <c r="AB282">
        <f t="shared" si="83"/>
        <v>0.18101534086405613</v>
      </c>
      <c r="AC282">
        <f t="shared" si="84"/>
        <v>0.17113714323946394</v>
      </c>
      <c r="AD282">
        <f t="shared" si="85"/>
        <v>6.4842101007534653E-2</v>
      </c>
      <c r="AE282">
        <f t="shared" si="86"/>
        <v>0.24996645437674639</v>
      </c>
      <c r="AF282">
        <f t="shared" si="87"/>
        <v>-2.4805392794267623E-2</v>
      </c>
      <c r="AG282">
        <f t="shared" si="88"/>
        <v>9.8637856335908866E-2</v>
      </c>
      <c r="AH282">
        <f t="shared" si="89"/>
        <v>0.11180140763611994</v>
      </c>
      <c r="AI282">
        <f t="shared" si="90"/>
        <v>8.0478709670870646E-2</v>
      </c>
      <c r="AJ282">
        <f t="shared" si="79"/>
        <v>9.5583101223659497E-2</v>
      </c>
      <c r="AK282">
        <f t="shared" si="73"/>
        <v>9.5843702521105231E-2</v>
      </c>
      <c r="AL282">
        <f t="shared" si="74"/>
        <v>8.1107968467275277E-2</v>
      </c>
      <c r="AM282">
        <f t="shared" si="75"/>
        <v>3.9265761160942138E-2</v>
      </c>
      <c r="AN282">
        <f t="shared" si="76"/>
        <v>5.4783255025496733E-2</v>
      </c>
    </row>
    <row r="283" spans="1:40">
      <c r="A283" s="37">
        <v>45078</v>
      </c>
      <c r="B283" s="1">
        <v>7.1945399999999999</v>
      </c>
      <c r="C283" s="1">
        <v>26.829705999999998</v>
      </c>
      <c r="D283" s="1">
        <v>137.14257799999999</v>
      </c>
      <c r="E283" s="1">
        <v>42.146674999999995</v>
      </c>
      <c r="F283" s="1">
        <v>81.05478699999999</v>
      </c>
      <c r="G283" s="1">
        <v>14.334131999999999</v>
      </c>
      <c r="H283" s="1">
        <v>391.11312899999996</v>
      </c>
      <c r="I283" s="1">
        <v>142.44103999999999</v>
      </c>
      <c r="J283" s="1">
        <v>84.993904000000001</v>
      </c>
      <c r="K283" s="1">
        <v>31.455375999999998</v>
      </c>
      <c r="L283" s="1">
        <v>169.027771</v>
      </c>
      <c r="M283" s="1">
        <v>38.285553</v>
      </c>
      <c r="N283" s="1">
        <v>40.023986999999998</v>
      </c>
      <c r="O283" s="1">
        <v>55.510849</v>
      </c>
      <c r="P283" s="1">
        <v>191.643677</v>
      </c>
      <c r="Q283" s="1">
        <v>130.36000099999998</v>
      </c>
      <c r="R283" s="1">
        <v>334.77551299999999</v>
      </c>
      <c r="S283" s="1">
        <v>123.060997</v>
      </c>
      <c r="V283" s="37">
        <v>45078</v>
      </c>
      <c r="W283">
        <f t="shared" si="77"/>
        <v>1.6539208900082498E-2</v>
      </c>
      <c r="X283">
        <f t="shared" si="78"/>
        <v>0.12427158165654147</v>
      </c>
      <c r="Y283">
        <f t="shared" si="80"/>
        <v>8.6083586674300355E-2</v>
      </c>
      <c r="Z283">
        <f t="shared" si="81"/>
        <v>3.5186690290515354E-2</v>
      </c>
      <c r="AA283">
        <f t="shared" si="82"/>
        <v>2.8900279510943636E-2</v>
      </c>
      <c r="AB283">
        <f t="shared" si="83"/>
        <v>4.4176166369892619E-2</v>
      </c>
      <c r="AC283">
        <f t="shared" si="84"/>
        <v>6.3524134471077812E-2</v>
      </c>
      <c r="AD283">
        <f t="shared" si="85"/>
        <v>3.0051472525053181E-2</v>
      </c>
      <c r="AE283">
        <f t="shared" si="86"/>
        <v>7.0580555989050595E-2</v>
      </c>
      <c r="AF283">
        <f t="shared" si="87"/>
        <v>-1.6902834033838906E-2</v>
      </c>
      <c r="AG283">
        <f t="shared" si="88"/>
        <v>-3.0539644281293861E-2</v>
      </c>
      <c r="AH283">
        <f t="shared" si="89"/>
        <v>3.5042983446001111E-2</v>
      </c>
      <c r="AI283">
        <f t="shared" si="90"/>
        <v>8.1537079251999517E-2</v>
      </c>
      <c r="AJ283">
        <f t="shared" si="79"/>
        <v>6.3376890524589141E-2</v>
      </c>
      <c r="AK283">
        <f t="shared" si="73"/>
        <v>1.2785556186129671E-2</v>
      </c>
      <c r="AL283">
        <f t="shared" si="74"/>
        <v>2.5467873385487422E-2</v>
      </c>
      <c r="AM283">
        <f t="shared" si="75"/>
        <v>-1.3566730013494149E-2</v>
      </c>
      <c r="AN283">
        <f t="shared" si="76"/>
        <v>7.7497990691559132E-2</v>
      </c>
    </row>
    <row r="284" spans="1:40">
      <c r="A284" s="37">
        <v>45108</v>
      </c>
      <c r="B284" s="1">
        <v>7.3135319999999995</v>
      </c>
      <c r="C284" s="1">
        <v>30.163875999999998</v>
      </c>
      <c r="D284" s="1">
        <v>148.94830299999998</v>
      </c>
      <c r="E284" s="1">
        <v>43.629677000000001</v>
      </c>
      <c r="F284" s="1">
        <v>83.397292999999991</v>
      </c>
      <c r="G284" s="1">
        <v>14.967359</v>
      </c>
      <c r="H284" s="1">
        <v>415.95825199999996</v>
      </c>
      <c r="I284" s="1">
        <v>146.72160299999999</v>
      </c>
      <c r="J284" s="1">
        <v>90.992820999999992</v>
      </c>
      <c r="K284" s="1">
        <v>30.923690999999998</v>
      </c>
      <c r="L284" s="1">
        <v>163.865723</v>
      </c>
      <c r="M284" s="1">
        <v>39.627192999999998</v>
      </c>
      <c r="N284" s="1">
        <v>43.287425999999996</v>
      </c>
      <c r="O284" s="1">
        <v>59.028953999999999</v>
      </c>
      <c r="P284" s="1">
        <v>194.09394799999998</v>
      </c>
      <c r="Q284" s="1">
        <v>133.679993</v>
      </c>
      <c r="R284" s="1">
        <v>330.23370399999999</v>
      </c>
      <c r="S284" s="1">
        <v>132.59797699999999</v>
      </c>
      <c r="V284" s="37">
        <v>45108</v>
      </c>
      <c r="W284">
        <f t="shared" si="77"/>
        <v>-6.0074940534887898E-2</v>
      </c>
      <c r="X284">
        <f t="shared" si="78"/>
        <v>-0.10406248852103755</v>
      </c>
      <c r="Y284">
        <f t="shared" si="80"/>
        <v>-6.726410974954164E-2</v>
      </c>
      <c r="Z284">
        <f t="shared" si="81"/>
        <v>-0.13365494317090634</v>
      </c>
      <c r="AA284">
        <f t="shared" si="82"/>
        <v>-6.2335176754478049E-2</v>
      </c>
      <c r="AB284">
        <f t="shared" si="83"/>
        <v>-0.26280915691271922</v>
      </c>
      <c r="AC284">
        <f t="shared" si="84"/>
        <v>-4.3435786916423538E-2</v>
      </c>
      <c r="AD284">
        <f t="shared" si="85"/>
        <v>-6.3184083396361718E-3</v>
      </c>
      <c r="AE284">
        <f t="shared" si="86"/>
        <v>-4.9259600381001488E-2</v>
      </c>
      <c r="AF284">
        <f t="shared" si="87"/>
        <v>-7.9262853842382661E-3</v>
      </c>
      <c r="AG284">
        <f t="shared" si="88"/>
        <v>-6.1275786150835357E-2</v>
      </c>
      <c r="AH284">
        <f t="shared" si="89"/>
        <v>8.9113629622971285E-2</v>
      </c>
      <c r="AI284">
        <f t="shared" si="90"/>
        <v>-0.10550253091971787</v>
      </c>
      <c r="AJ284">
        <f t="shared" si="79"/>
        <v>-6.3732045802471812E-2</v>
      </c>
      <c r="AK284">
        <f t="shared" si="73"/>
        <v>-4.3675220620480085E-2</v>
      </c>
      <c r="AL284">
        <f t="shared" si="74"/>
        <v>3.2390800618907929E-2</v>
      </c>
      <c r="AM284">
        <f t="shared" si="75"/>
        <v>-2.4291527190695255E-2</v>
      </c>
      <c r="AN284">
        <f t="shared" si="76"/>
        <v>1.8379986294964405E-2</v>
      </c>
    </row>
    <row r="285" spans="1:40">
      <c r="A285" s="37">
        <v>45139</v>
      </c>
      <c r="B285" s="1">
        <v>6.8741719999999997</v>
      </c>
      <c r="C285" s="1">
        <v>27.024947999999998</v>
      </c>
      <c r="D285" s="1">
        <v>138.929428</v>
      </c>
      <c r="E285" s="1">
        <v>37.798355000000001</v>
      </c>
      <c r="F285" s="1">
        <v>78.198707999999996</v>
      </c>
      <c r="G285" s="1">
        <v>11.033799999999999</v>
      </c>
      <c r="H285" s="1">
        <v>397.89077799999995</v>
      </c>
      <c r="I285" s="1">
        <v>145.794556</v>
      </c>
      <c r="J285" s="1">
        <v>86.510550999999992</v>
      </c>
      <c r="K285" s="1">
        <v>30.678580999999998</v>
      </c>
      <c r="L285" s="1">
        <v>153.82472199999998</v>
      </c>
      <c r="M285" s="1">
        <v>43.158515999999999</v>
      </c>
      <c r="N285" s="1">
        <v>38.720492999999998</v>
      </c>
      <c r="O285" s="1">
        <v>55.266917999999997</v>
      </c>
      <c r="P285" s="1">
        <v>185.61685199999999</v>
      </c>
      <c r="Q285" s="1">
        <v>138.009995</v>
      </c>
      <c r="R285" s="1">
        <v>322.21182299999998</v>
      </c>
      <c r="S285" s="1">
        <v>135.03512599999999</v>
      </c>
      <c r="V285" s="37">
        <v>45139</v>
      </c>
      <c r="W285">
        <f>(B286-B285)/B285</f>
        <v>5.6802331975400022E-2</v>
      </c>
      <c r="X285">
        <f t="shared" si="78"/>
        <v>-3.7036370985801731E-2</v>
      </c>
      <c r="Y285">
        <f t="shared" si="80"/>
        <v>-8.9524517440611028E-3</v>
      </c>
      <c r="Z285">
        <f t="shared" si="81"/>
        <v>7.6823978186350683E-3</v>
      </c>
      <c r="AA285">
        <f t="shared" si="82"/>
        <v>-1.9979102468035741E-2</v>
      </c>
      <c r="AB285">
        <f t="shared" si="83"/>
        <v>-5.0694774239155985E-2</v>
      </c>
      <c r="AC285">
        <f t="shared" si="84"/>
        <v>-8.1666366240838006E-2</v>
      </c>
      <c r="AD285">
        <f t="shared" si="85"/>
        <v>-5.4943738777187348E-2</v>
      </c>
      <c r="AE285">
        <f t="shared" si="86"/>
        <v>-0.11443083977120891</v>
      </c>
      <c r="AF285">
        <f t="shared" si="87"/>
        <v>-6.2464753503429594E-2</v>
      </c>
      <c r="AG285">
        <f t="shared" si="88"/>
        <v>-5.5699811373622982E-2</v>
      </c>
      <c r="AH285">
        <f t="shared" si="89"/>
        <v>-6.9347240762402534E-2</v>
      </c>
      <c r="AI285">
        <f t="shared" si="90"/>
        <v>-2.6743719404605207E-3</v>
      </c>
      <c r="AJ285">
        <f t="shared" si="79"/>
        <v>-1.2293014059513897E-2</v>
      </c>
      <c r="AK285">
        <f t="shared" si="73"/>
        <v>-8.7447695751245655E-2</v>
      </c>
      <c r="AL285">
        <f t="shared" si="74"/>
        <v>-7.8907270448057093E-2</v>
      </c>
      <c r="AM285">
        <f t="shared" si="75"/>
        <v>-3.4603031931574948E-2</v>
      </c>
      <c r="AN285">
        <f t="shared" si="76"/>
        <v>-3.3477437566874144E-2</v>
      </c>
    </row>
    <row r="286" spans="1:40">
      <c r="A286" s="37">
        <v>45170</v>
      </c>
      <c r="B286" s="1">
        <v>7.2646409999999992</v>
      </c>
      <c r="C286" s="1">
        <v>26.024041999999998</v>
      </c>
      <c r="D286" s="1">
        <v>137.68566899999999</v>
      </c>
      <c r="E286" s="1">
        <v>38.088736999999995</v>
      </c>
      <c r="F286" s="1">
        <v>76.63636799999999</v>
      </c>
      <c r="G286" s="1">
        <v>10.474444</v>
      </c>
      <c r="H286" s="1">
        <v>365.39648399999999</v>
      </c>
      <c r="I286" s="1">
        <v>137.78405799999999</v>
      </c>
      <c r="J286" s="1">
        <v>76.611075999999997</v>
      </c>
      <c r="K286" s="1">
        <v>28.762250999999999</v>
      </c>
      <c r="L286" s="1">
        <v>145.25671399999999</v>
      </c>
      <c r="M286" s="1">
        <v>40.165591999999997</v>
      </c>
      <c r="N286" s="1">
        <v>38.61694</v>
      </c>
      <c r="O286" s="1">
        <v>54.587520999999995</v>
      </c>
      <c r="P286" s="1">
        <v>169.385086</v>
      </c>
      <c r="Q286" s="1">
        <v>127.120003</v>
      </c>
      <c r="R286" s="1">
        <v>311.06231700000001</v>
      </c>
      <c r="S286" s="1">
        <v>130.51449600000001</v>
      </c>
      <c r="V286" s="37">
        <v>45170</v>
      </c>
      <c r="W286">
        <f t="shared" si="77"/>
        <v>-0.17458274951232955</v>
      </c>
      <c r="X286">
        <f t="shared" si="78"/>
        <v>-3.7983991879508912E-2</v>
      </c>
      <c r="Y286">
        <f t="shared" si="80"/>
        <v>-4.1097625054935888E-2</v>
      </c>
      <c r="Z286">
        <f t="shared" si="81"/>
        <v>-3.9873545820119941E-2</v>
      </c>
      <c r="AA286">
        <f t="shared" si="82"/>
        <v>-0.10453941397640333</v>
      </c>
      <c r="AB286">
        <f t="shared" si="83"/>
        <v>6.4557985130284726E-2</v>
      </c>
      <c r="AC286">
        <f t="shared" si="84"/>
        <v>-2.84389134954019E-2</v>
      </c>
      <c r="AD286">
        <f t="shared" si="85"/>
        <v>2.8589171034576446E-2</v>
      </c>
      <c r="AE286">
        <f t="shared" si="86"/>
        <v>2.6396679247789184E-2</v>
      </c>
      <c r="AF286">
        <f t="shared" si="87"/>
        <v>-7.868556602193616E-2</v>
      </c>
      <c r="AG286">
        <f t="shared" si="88"/>
        <v>-2.1180845382472332E-2</v>
      </c>
      <c r="AH286">
        <f t="shared" si="89"/>
        <v>-2.1601897464874842E-2</v>
      </c>
      <c r="AI286">
        <f t="shared" si="90"/>
        <v>-2.6676453390662276E-2</v>
      </c>
      <c r="AJ286">
        <f t="shared" si="79"/>
        <v>-7.3348668828540436E-2</v>
      </c>
      <c r="AK286">
        <f t="shared" si="73"/>
        <v>-2.5700786903990721E-3</v>
      </c>
      <c r="AL286">
        <f t="shared" si="74"/>
        <v>4.6963442881605255E-2</v>
      </c>
      <c r="AM286">
        <f t="shared" si="75"/>
        <v>7.0815540154289924E-2</v>
      </c>
      <c r="AN286">
        <f t="shared" si="76"/>
        <v>3.093378991403373E-2</v>
      </c>
    </row>
    <row r="287" spans="1:40">
      <c r="A287" s="37">
        <v>45200</v>
      </c>
      <c r="B287" s="1">
        <v>5.9963600000000001</v>
      </c>
      <c r="C287" s="1">
        <v>25.035544999999999</v>
      </c>
      <c r="D287" s="1">
        <v>132.02711499999998</v>
      </c>
      <c r="E287" s="1">
        <v>36.570003999999997</v>
      </c>
      <c r="F287" s="1">
        <v>68.624847000000003</v>
      </c>
      <c r="G287" s="1">
        <v>11.150653</v>
      </c>
      <c r="H287" s="1">
        <v>355.00500499999998</v>
      </c>
      <c r="I287" s="1">
        <v>141.72318999999999</v>
      </c>
      <c r="J287" s="1">
        <v>78.633353999999997</v>
      </c>
      <c r="K287" s="1">
        <v>26.499077</v>
      </c>
      <c r="L287" s="1">
        <v>142.18005399999998</v>
      </c>
      <c r="M287" s="1">
        <v>39.297939</v>
      </c>
      <c r="N287" s="1">
        <v>37.586776999999998</v>
      </c>
      <c r="O287" s="1">
        <v>50.583599</v>
      </c>
      <c r="P287" s="1">
        <v>168.94975299999999</v>
      </c>
      <c r="Q287" s="1">
        <v>133.08999599999999</v>
      </c>
      <c r="R287" s="1">
        <v>333.09036299999997</v>
      </c>
      <c r="S287" s="1">
        <v>134.551804</v>
      </c>
      <c r="V287" s="37">
        <v>45200</v>
      </c>
      <c r="W287">
        <f t="shared" si="77"/>
        <v>0.12286153599850566</v>
      </c>
      <c r="X287">
        <f t="shared" si="78"/>
        <v>0.15755506820402748</v>
      </c>
      <c r="Y287">
        <f t="shared" si="80"/>
        <v>0.13067474056370929</v>
      </c>
      <c r="Z287">
        <f t="shared" si="81"/>
        <v>0.16738401231785485</v>
      </c>
      <c r="AA287">
        <f t="shared" si="82"/>
        <v>0.10452211281432784</v>
      </c>
      <c r="AB287">
        <f t="shared" si="83"/>
        <v>0.30213450279548637</v>
      </c>
      <c r="AC287">
        <f t="shared" si="84"/>
        <v>-2.6000619343381571E-3</v>
      </c>
      <c r="AD287">
        <f t="shared" si="85"/>
        <v>2.9720591245511765E-2</v>
      </c>
      <c r="AE287">
        <f t="shared" si="86"/>
        <v>6.8783190909038436E-2</v>
      </c>
      <c r="AF287">
        <f t="shared" si="87"/>
        <v>-2.9448950240795902E-3</v>
      </c>
      <c r="AG287">
        <f t="shared" si="88"/>
        <v>0.17422207477850588</v>
      </c>
      <c r="AH287">
        <f t="shared" si="89"/>
        <v>0.16884610666223482</v>
      </c>
      <c r="AI287">
        <f t="shared" si="90"/>
        <v>0.12119679748013509</v>
      </c>
      <c r="AJ287">
        <f t="shared" si="79"/>
        <v>0.10559578807352157</v>
      </c>
      <c r="AK287">
        <f t="shared" si="73"/>
        <v>0.11231487269472365</v>
      </c>
      <c r="AL287">
        <f t="shared" si="74"/>
        <v>9.7678265765369782E-2</v>
      </c>
      <c r="AM287">
        <f t="shared" si="75"/>
        <v>0.12067078025910948</v>
      </c>
      <c r="AN287">
        <f t="shared" si="76"/>
        <v>9.6238969787428311E-2</v>
      </c>
    </row>
    <row r="288" spans="1:40">
      <c r="A288" s="37">
        <v>45231</v>
      </c>
      <c r="B288" s="1">
        <v>6.7330819999999996</v>
      </c>
      <c r="C288" s="1">
        <v>28.980021999999998</v>
      </c>
      <c r="D288" s="1">
        <v>149.27972399999999</v>
      </c>
      <c r="E288" s="1">
        <v>42.691237999999998</v>
      </c>
      <c r="F288" s="1">
        <v>75.797660999999991</v>
      </c>
      <c r="G288" s="1">
        <v>14.519649999999999</v>
      </c>
      <c r="H288" s="1">
        <v>354.08196999999996</v>
      </c>
      <c r="I288" s="1">
        <v>145.93528699999999</v>
      </c>
      <c r="J288" s="1">
        <v>84.042006999999998</v>
      </c>
      <c r="K288" s="1">
        <v>26.421039999999998</v>
      </c>
      <c r="L288" s="1">
        <v>166.95095799999999</v>
      </c>
      <c r="M288" s="1">
        <v>45.933242999999997</v>
      </c>
      <c r="N288" s="1">
        <v>42.142173999999997</v>
      </c>
      <c r="O288" s="1">
        <v>55.925013999999997</v>
      </c>
      <c r="P288" s="1">
        <v>187.92532299999999</v>
      </c>
      <c r="Q288" s="1">
        <v>146.08999599999999</v>
      </c>
      <c r="R288" s="1">
        <v>373.28463699999998</v>
      </c>
      <c r="S288" s="1">
        <v>147.50093099999998</v>
      </c>
      <c r="V288" s="37">
        <v>45231</v>
      </c>
      <c r="W288">
        <f t="shared" si="77"/>
        <v>9.141281808241758E-2</v>
      </c>
      <c r="X288">
        <f t="shared" si="78"/>
        <v>0.11311016258027684</v>
      </c>
      <c r="Y288">
        <f t="shared" si="80"/>
        <v>8.9825963236641646E-2</v>
      </c>
      <c r="Z288">
        <f t="shared" si="81"/>
        <v>0.1303229716598989</v>
      </c>
      <c r="AA288">
        <f t="shared" si="82"/>
        <v>0.20233345986758094</v>
      </c>
      <c r="AB288">
        <f t="shared" si="83"/>
        <v>0.26860041392182321</v>
      </c>
      <c r="AC288">
        <f t="shared" si="84"/>
        <v>9.7308024466764176E-2</v>
      </c>
      <c r="AD288">
        <f t="shared" si="85"/>
        <v>-4.5466467613141492E-2</v>
      </c>
      <c r="AE288">
        <f t="shared" si="86"/>
        <v>8.8851007568155657E-2</v>
      </c>
      <c r="AF288">
        <f t="shared" si="87"/>
        <v>-4.2397233417004035E-2</v>
      </c>
      <c r="AG288">
        <f t="shared" si="88"/>
        <v>9.703099158017417E-2</v>
      </c>
      <c r="AH288">
        <f t="shared" si="89"/>
        <v>4.2562224487393635E-2</v>
      </c>
      <c r="AI288">
        <f t="shared" si="90"/>
        <v>0.11367564948120623</v>
      </c>
      <c r="AJ288">
        <f t="shared" si="79"/>
        <v>5.9518000299472407E-2</v>
      </c>
      <c r="AK288">
        <f t="shared" si="73"/>
        <v>1.4917824565878238E-2</v>
      </c>
      <c r="AL288">
        <f t="shared" si="74"/>
        <v>4.0043850778119047E-2</v>
      </c>
      <c r="AM288">
        <f t="shared" si="75"/>
        <v>-5.5601002406106973E-3</v>
      </c>
      <c r="AN288">
        <f t="shared" si="76"/>
        <v>4.3168961421674132E-2</v>
      </c>
    </row>
    <row r="289" spans="1:40">
      <c r="A289" s="37">
        <v>45261</v>
      </c>
      <c r="B289" s="1">
        <v>7.3485719999999999</v>
      </c>
      <c r="C289" s="1">
        <v>32.257956999999998</v>
      </c>
      <c r="D289" s="1">
        <v>162.688919</v>
      </c>
      <c r="E289" s="1">
        <v>48.254886999999997</v>
      </c>
      <c r="F289" s="1">
        <v>91.134063999999995</v>
      </c>
      <c r="G289" s="1">
        <v>18.419633999999999</v>
      </c>
      <c r="H289" s="1">
        <v>388.53698700000001</v>
      </c>
      <c r="I289" s="1">
        <v>139.30012499999998</v>
      </c>
      <c r="J289" s="1">
        <v>91.509223999999989</v>
      </c>
      <c r="K289" s="1">
        <v>25.300860999999998</v>
      </c>
      <c r="L289" s="1">
        <v>183.150375</v>
      </c>
      <c r="M289" s="1">
        <v>47.888263999999999</v>
      </c>
      <c r="N289" s="1">
        <v>46.932713</v>
      </c>
      <c r="O289" s="1">
        <v>59.253558999999996</v>
      </c>
      <c r="P289" s="1">
        <v>190.72875999999999</v>
      </c>
      <c r="Q289" s="1">
        <v>151.94000199999999</v>
      </c>
      <c r="R289" s="1">
        <v>371.209137</v>
      </c>
      <c r="S289" s="1">
        <v>153.868393</v>
      </c>
      <c r="V289" s="37">
        <v>45261</v>
      </c>
      <c r="W289">
        <f t="shared" si="77"/>
        <v>-4.3147294467551021E-2</v>
      </c>
      <c r="X289">
        <f t="shared" si="78"/>
        <v>1.0098128657062744E-2</v>
      </c>
      <c r="Y289">
        <f t="shared" si="80"/>
        <v>2.5043936766215684E-2</v>
      </c>
      <c r="Z289">
        <f t="shared" si="81"/>
        <v>9.195176438813342E-2</v>
      </c>
      <c r="AA289">
        <f t="shared" si="82"/>
        <v>-4.8110012958491592E-2</v>
      </c>
      <c r="AB289">
        <f t="shared" si="83"/>
        <v>-8.3212782620979281E-2</v>
      </c>
      <c r="AC289">
        <f t="shared" si="84"/>
        <v>-1.2114519743264581E-2</v>
      </c>
      <c r="AD289">
        <f t="shared" si="85"/>
        <v>7.2335139684907096E-2</v>
      </c>
      <c r="AE289">
        <f t="shared" si="86"/>
        <v>-4.8929668554505444E-2</v>
      </c>
      <c r="AF289">
        <f t="shared" si="87"/>
        <v>-5.9395607129733595E-2</v>
      </c>
      <c r="AG289">
        <f t="shared" si="88"/>
        <v>7.1527874294551694E-2</v>
      </c>
      <c r="AH289">
        <f t="shared" si="89"/>
        <v>-8.7771609344620086E-3</v>
      </c>
      <c r="AI289">
        <f t="shared" si="90"/>
        <v>1.9504220861896435E-2</v>
      </c>
      <c r="AJ289">
        <f t="shared" si="79"/>
        <v>-6.0198105568646111E-2</v>
      </c>
      <c r="AK289">
        <f t="shared" si="73"/>
        <v>-4.2227192165460579E-2</v>
      </c>
      <c r="AL289">
        <f t="shared" si="74"/>
        <v>2.145580464057124E-2</v>
      </c>
      <c r="AM289">
        <f t="shared" si="75"/>
        <v>5.7281119672439436E-2</v>
      </c>
      <c r="AN289">
        <f t="shared" si="76"/>
        <v>0.12295913820325656</v>
      </c>
    </row>
    <row r="290" spans="1:40">
      <c r="A290" s="37">
        <v>45292</v>
      </c>
      <c r="B290" s="1">
        <v>7.0315009999999996</v>
      </c>
      <c r="C290" s="1">
        <v>32.583701999999995</v>
      </c>
      <c r="D290" s="1">
        <v>166.76328999999998</v>
      </c>
      <c r="E290" s="1">
        <v>52.692008999999999</v>
      </c>
      <c r="F290" s="1">
        <v>86.749602999999993</v>
      </c>
      <c r="G290" s="1">
        <v>16.886884999999999</v>
      </c>
      <c r="H290" s="1">
        <v>383.83004799999998</v>
      </c>
      <c r="I290" s="1">
        <v>149.376419</v>
      </c>
      <c r="J290" s="1">
        <v>87.031707999999995</v>
      </c>
      <c r="K290" s="1">
        <v>23.798100999999999</v>
      </c>
      <c r="L290" s="1">
        <v>196.250732</v>
      </c>
      <c r="M290" s="1">
        <v>47.467940999999996</v>
      </c>
      <c r="N290" s="1">
        <v>47.848098999999998</v>
      </c>
      <c r="O290" s="1">
        <v>55.686606999999995</v>
      </c>
      <c r="P290" s="1">
        <v>182.67481999999998</v>
      </c>
      <c r="Q290" s="1">
        <v>155.199997</v>
      </c>
      <c r="R290" s="1">
        <v>392.47241199999996</v>
      </c>
      <c r="S290" s="1">
        <v>172.78791799999999</v>
      </c>
      <c r="V290" s="37">
        <v>45292</v>
      </c>
      <c r="W290">
        <f t="shared" si="77"/>
        <v>0.12732089492698642</v>
      </c>
      <c r="X290">
        <f t="shared" si="78"/>
        <v>1.4995625727242438E-2</v>
      </c>
      <c r="Y290">
        <f t="shared" si="80"/>
        <v>7.368269119660581E-2</v>
      </c>
      <c r="Z290">
        <f t="shared" si="81"/>
        <v>-1.2106086142967197E-2</v>
      </c>
      <c r="AA290">
        <f t="shared" si="82"/>
        <v>-2.7798916843458109E-2</v>
      </c>
      <c r="AB290">
        <f t="shared" si="83"/>
        <v>-4.6473461505777976E-2</v>
      </c>
      <c r="AC290">
        <f t="shared" si="84"/>
        <v>-7.2488444156409537E-2</v>
      </c>
      <c r="AD290">
        <f t="shared" si="85"/>
        <v>1.7842628828851476E-2</v>
      </c>
      <c r="AE290">
        <f t="shared" si="86"/>
        <v>-4.2979577052538062E-2</v>
      </c>
      <c r="AF290">
        <f t="shared" si="87"/>
        <v>-4.4429175252260989E-3</v>
      </c>
      <c r="AG290">
        <f t="shared" si="88"/>
        <v>9.6586804068583026E-2</v>
      </c>
      <c r="AH290">
        <f t="shared" si="89"/>
        <v>-8.6086354577713728E-2</v>
      </c>
      <c r="AI290">
        <f t="shared" si="90"/>
        <v>0.10781176489373176</v>
      </c>
      <c r="AJ290">
        <f t="shared" si="79"/>
        <v>-2.7893601059223811E-4</v>
      </c>
      <c r="AK290">
        <f t="shared" si="73"/>
        <v>-1.9793718696424611E-2</v>
      </c>
      <c r="AL290">
        <f t="shared" si="74"/>
        <v>0.13891751557185925</v>
      </c>
      <c r="AM290">
        <f t="shared" si="75"/>
        <v>4.039450548692336E-2</v>
      </c>
      <c r="AN290">
        <f t="shared" si="76"/>
        <v>7.4594046558278263E-3</v>
      </c>
    </row>
    <row r="291" spans="1:40">
      <c r="A291" s="37">
        <v>45323</v>
      </c>
      <c r="B291" s="1">
        <v>7.9267579999999995</v>
      </c>
      <c r="C291" s="1">
        <v>33.072314999999996</v>
      </c>
      <c r="D291" s="1">
        <v>179.05085800000001</v>
      </c>
      <c r="E291" s="1">
        <v>52.054114999999996</v>
      </c>
      <c r="F291" s="1">
        <v>84.33805799999999</v>
      </c>
      <c r="G291" s="1">
        <v>16.102093</v>
      </c>
      <c r="H291" s="1">
        <v>356.00680499999999</v>
      </c>
      <c r="I291" s="1">
        <v>152.041687</v>
      </c>
      <c r="J291" s="1">
        <v>83.291122000000001</v>
      </c>
      <c r="K291" s="1">
        <v>23.692367999999998</v>
      </c>
      <c r="L291" s="1">
        <v>215.205963</v>
      </c>
      <c r="M291" s="1">
        <v>43.381599000000001</v>
      </c>
      <c r="N291" s="1">
        <v>53.006686999999999</v>
      </c>
      <c r="O291" s="1">
        <v>55.671073999999997</v>
      </c>
      <c r="P291" s="1">
        <v>179.05900599999998</v>
      </c>
      <c r="Q291" s="1">
        <v>176.759995</v>
      </c>
      <c r="R291" s="1">
        <v>408.32614100000001</v>
      </c>
      <c r="S291" s="1">
        <v>174.07681299999999</v>
      </c>
      <c r="V291" s="37">
        <v>45323</v>
      </c>
      <c r="W291">
        <f t="shared" si="77"/>
        <v>0.14725932089764823</v>
      </c>
      <c r="X291">
        <f t="shared" si="78"/>
        <v>0.10623160187002338</v>
      </c>
      <c r="Y291">
        <f t="shared" si="80"/>
        <v>7.6534495020403603E-2</v>
      </c>
      <c r="Z291">
        <f t="shared" si="81"/>
        <v>0.15054229622384319</v>
      </c>
      <c r="AA291">
        <f t="shared" si="82"/>
        <v>7.9337041410178208E-2</v>
      </c>
      <c r="AB291">
        <f t="shared" si="83"/>
        <v>0.146215526143092</v>
      </c>
      <c r="AC291">
        <f t="shared" si="84"/>
        <v>0.12516099797586727</v>
      </c>
      <c r="AD291">
        <f t="shared" si="85"/>
        <v>2.0825446379057876E-2</v>
      </c>
      <c r="AE291">
        <f t="shared" si="86"/>
        <v>9.6763314102071923E-2</v>
      </c>
      <c r="AF291">
        <f t="shared" si="87"/>
        <v>4.480417491404836E-2</v>
      </c>
      <c r="AG291">
        <f t="shared" si="88"/>
        <v>3.7690363626216021E-2</v>
      </c>
      <c r="AH291">
        <f t="shared" si="89"/>
        <v>-2.3938582807885897E-2</v>
      </c>
      <c r="AI291">
        <f t="shared" si="90"/>
        <v>4.9957017687221175E-2</v>
      </c>
      <c r="AJ291">
        <f t="shared" si="79"/>
        <v>6.3333608401375139E-3</v>
      </c>
      <c r="AK291">
        <f t="shared" si="73"/>
        <v>-5.0075883923984175E-2</v>
      </c>
      <c r="AL291">
        <f t="shared" si="74"/>
        <v>2.0479803702189398E-2</v>
      </c>
      <c r="AM291">
        <f t="shared" si="75"/>
        <v>1.8997191757066545E-2</v>
      </c>
      <c r="AN291">
        <f t="shared" si="76"/>
        <v>4.1457979817220075E-2</v>
      </c>
    </row>
    <row r="292" spans="1:40">
      <c r="A292" s="37">
        <v>45352</v>
      </c>
      <c r="B292" s="1">
        <v>9.0940469999999998</v>
      </c>
      <c r="C292" s="1">
        <v>36.585639999999998</v>
      </c>
      <c r="D292" s="1">
        <v>192.754425</v>
      </c>
      <c r="E292" s="1">
        <v>59.890460999999995</v>
      </c>
      <c r="F292" s="1">
        <v>91.02919</v>
      </c>
      <c r="G292" s="1">
        <v>18.456468999999998</v>
      </c>
      <c r="H292" s="1">
        <v>400.56497199999995</v>
      </c>
      <c r="I292" s="1">
        <v>155.208023</v>
      </c>
      <c r="J292" s="1">
        <v>91.350646999999995</v>
      </c>
      <c r="K292" s="1">
        <v>24.753885</v>
      </c>
      <c r="L292" s="1">
        <v>223.31715399999999</v>
      </c>
      <c r="M292" s="1">
        <v>42.343105000000001</v>
      </c>
      <c r="N292" s="1">
        <v>55.654742999999996</v>
      </c>
      <c r="O292" s="1">
        <v>56.023658999999995</v>
      </c>
      <c r="P292" s="1">
        <v>170.092468</v>
      </c>
      <c r="Q292" s="1">
        <v>180.38000499999998</v>
      </c>
      <c r="R292" s="1">
        <v>416.083191</v>
      </c>
      <c r="S292" s="1">
        <v>181.29368599999998</v>
      </c>
      <c r="V292" s="37">
        <v>45352</v>
      </c>
      <c r="W292">
        <f t="shared" si="77"/>
        <v>8.3597874521651266E-2</v>
      </c>
      <c r="X292">
        <f t="shared" si="78"/>
        <v>-2.3997912842306336E-2</v>
      </c>
      <c r="Y292">
        <f t="shared" si="80"/>
        <v>-4.2735900874908632E-2</v>
      </c>
      <c r="Z292">
        <f t="shared" si="81"/>
        <v>-3.0202372294312402E-2</v>
      </c>
      <c r="AA292">
        <f t="shared" si="82"/>
        <v>-8.5585667630350276E-2</v>
      </c>
      <c r="AB292">
        <f t="shared" si="83"/>
        <v>-7.031756724430871E-2</v>
      </c>
      <c r="AC292">
        <f t="shared" si="84"/>
        <v>-4.3533254824887596E-2</v>
      </c>
      <c r="AD292">
        <f t="shared" si="85"/>
        <v>5.8549615054371397E-3</v>
      </c>
      <c r="AE292">
        <f t="shared" si="86"/>
        <v>-5.8212745882358176E-2</v>
      </c>
      <c r="AF292">
        <f t="shared" si="87"/>
        <v>-7.675684039091242E-2</v>
      </c>
      <c r="AG292">
        <f t="shared" si="88"/>
        <v>2.7844842586521604E-2</v>
      </c>
      <c r="AH292">
        <f t="shared" si="89"/>
        <v>-4.396111244085745E-3</v>
      </c>
      <c r="AI292">
        <f t="shared" si="90"/>
        <v>2.3464397275179277E-2</v>
      </c>
      <c r="AJ292">
        <f t="shared" si="79"/>
        <v>-1.7555458132429303E-2</v>
      </c>
      <c r="AK292">
        <f t="shared" si="73"/>
        <v>-6.7063580969382317E-3</v>
      </c>
      <c r="AL292">
        <f t="shared" si="74"/>
        <v>-2.9825949943842075E-2</v>
      </c>
      <c r="AM292">
        <f t="shared" si="75"/>
        <v>-7.4610387229028921E-2</v>
      </c>
      <c r="AN292">
        <f t="shared" si="76"/>
        <v>-0.12966062701157724</v>
      </c>
    </row>
    <row r="293" spans="1:40">
      <c r="A293" s="37">
        <v>45383</v>
      </c>
      <c r="B293" s="1">
        <v>9.8542899999999989</v>
      </c>
      <c r="C293" s="1">
        <v>35.707661000000002</v>
      </c>
      <c r="D293" s="1">
        <v>184.51689099999999</v>
      </c>
      <c r="E293" s="1">
        <v>58.081626999999997</v>
      </c>
      <c r="F293" s="1">
        <v>83.238395999999995</v>
      </c>
      <c r="G293" s="1">
        <v>17.158655</v>
      </c>
      <c r="H293" s="1">
        <v>383.12707499999999</v>
      </c>
      <c r="I293" s="1">
        <v>156.11676</v>
      </c>
      <c r="J293" s="1">
        <v>86.03287499999999</v>
      </c>
      <c r="K293" s="1">
        <v>22.853854999999999</v>
      </c>
      <c r="L293" s="1">
        <v>229.53538499999999</v>
      </c>
      <c r="M293" s="1">
        <v>42.156959999999998</v>
      </c>
      <c r="N293" s="1">
        <v>56.960647999999999</v>
      </c>
      <c r="O293" s="1">
        <v>55.040137999999999</v>
      </c>
      <c r="P293" s="1">
        <v>168.95176699999999</v>
      </c>
      <c r="Q293" s="1">
        <v>175</v>
      </c>
      <c r="R293" s="1">
        <v>385.039063</v>
      </c>
      <c r="S293" s="1">
        <v>157.78703299999998</v>
      </c>
      <c r="V293" s="37">
        <v>45383</v>
      </c>
      <c r="W293">
        <f t="shared" si="77"/>
        <v>0.10839857564573406</v>
      </c>
      <c r="X293">
        <f t="shared" si="78"/>
        <v>8.051899562953721E-2</v>
      </c>
      <c r="Y293">
        <f t="shared" si="80"/>
        <v>6.2960105912471823E-2</v>
      </c>
      <c r="Z293">
        <f t="shared" si="81"/>
        <v>1.597904617926767E-2</v>
      </c>
      <c r="AA293">
        <f t="shared" si="82"/>
        <v>9.6928345423666958E-3</v>
      </c>
      <c r="AB293">
        <f t="shared" si="83"/>
        <v>5.6972181094613737E-2</v>
      </c>
      <c r="AC293">
        <f t="shared" si="84"/>
        <v>-4.2538465860184921E-2</v>
      </c>
      <c r="AD293">
        <f t="shared" si="85"/>
        <v>1.4720956289382267E-2</v>
      </c>
      <c r="AE293">
        <f t="shared" si="86"/>
        <v>-4.6279959840932798E-2</v>
      </c>
      <c r="AF293">
        <f t="shared" si="87"/>
        <v>0.11865739937529139</v>
      </c>
      <c r="AG293">
        <f t="shared" si="88"/>
        <v>2.8686953865522679E-2</v>
      </c>
      <c r="AH293">
        <f t="shared" si="89"/>
        <v>0.19345728439621837</v>
      </c>
      <c r="AI293">
        <f t="shared" si="90"/>
        <v>1.0114649678844871E-2</v>
      </c>
      <c r="AJ293">
        <f t="shared" si="79"/>
        <v>-4.5228792849320236E-2</v>
      </c>
      <c r="AK293">
        <f t="shared" si="73"/>
        <v>0.12869134419884459</v>
      </c>
      <c r="AL293">
        <f t="shared" si="74"/>
        <v>8.228582857142815E-3</v>
      </c>
      <c r="AM293">
        <f t="shared" si="75"/>
        <v>6.6267863320662604E-2</v>
      </c>
      <c r="AN293">
        <f t="shared" si="76"/>
        <v>3.9109424156546736E-3</v>
      </c>
    </row>
    <row r="294" spans="1:40">
      <c r="A294" s="37">
        <v>45413</v>
      </c>
      <c r="B294" s="1">
        <v>10.922480999999999</v>
      </c>
      <c r="C294" s="1">
        <v>38.582805999999998</v>
      </c>
      <c r="D294" s="1">
        <v>196.134094</v>
      </c>
      <c r="E294" s="1">
        <v>59.009715999999997</v>
      </c>
      <c r="F294" s="1">
        <v>84.045211999999992</v>
      </c>
      <c r="G294" s="1">
        <v>18.136220999999999</v>
      </c>
      <c r="H294" s="1">
        <v>366.82943699999998</v>
      </c>
      <c r="I294" s="1">
        <v>158.41494799999998</v>
      </c>
      <c r="J294" s="1">
        <v>82.051276999999999</v>
      </c>
      <c r="K294" s="1">
        <v>25.565633999999999</v>
      </c>
      <c r="L294" s="1">
        <v>236.12005599999998</v>
      </c>
      <c r="M294" s="1">
        <v>50.312531</v>
      </c>
      <c r="N294" s="1">
        <v>57.536784999999995</v>
      </c>
      <c r="O294" s="1">
        <v>52.550739</v>
      </c>
      <c r="P294" s="1">
        <v>190.69439699999998</v>
      </c>
      <c r="Q294" s="1">
        <v>176.44000199999999</v>
      </c>
      <c r="R294" s="1">
        <v>410.554779</v>
      </c>
      <c r="S294" s="1">
        <v>158.40412899999998</v>
      </c>
      <c r="V294" s="37">
        <v>45413</v>
      </c>
      <c r="W294">
        <f t="shared" si="77"/>
        <v>-5.6387829834631906E-2</v>
      </c>
      <c r="X294">
        <f t="shared" si="78"/>
        <v>-5.50136244626683E-3</v>
      </c>
      <c r="Y294">
        <f t="shared" si="80"/>
        <v>-1.8260670171908672E-3</v>
      </c>
      <c r="Z294">
        <f t="shared" si="81"/>
        <v>2.7303503714540898E-2</v>
      </c>
      <c r="AA294">
        <f t="shared" si="82"/>
        <v>-5.902809787665235E-2</v>
      </c>
      <c r="AB294">
        <f t="shared" si="83"/>
        <v>-1.4373501513904036E-2</v>
      </c>
      <c r="AC294">
        <f t="shared" si="84"/>
        <v>-3.0153223499345383E-3</v>
      </c>
      <c r="AD294">
        <f t="shared" si="85"/>
        <v>2.3095989653704706E-3</v>
      </c>
      <c r="AE294">
        <f t="shared" si="86"/>
        <v>-8.3515043891394997E-2</v>
      </c>
      <c r="AF294">
        <f t="shared" si="87"/>
        <v>-9.003531850608584E-3</v>
      </c>
      <c r="AG294">
        <f t="shared" si="88"/>
        <v>-3.5208360275841941E-2</v>
      </c>
      <c r="AH294">
        <f t="shared" si="89"/>
        <v>1.9521975549192258E-4</v>
      </c>
      <c r="AI294">
        <f t="shared" si="90"/>
        <v>-3.146925918783944E-3</v>
      </c>
      <c r="AJ294">
        <f t="shared" si="79"/>
        <v>-1.7167275230896478E-2</v>
      </c>
      <c r="AK294">
        <f t="shared" si="73"/>
        <v>9.703858787209152E-2</v>
      </c>
      <c r="AL294">
        <f t="shared" si="74"/>
        <v>9.5273168269404171E-2</v>
      </c>
      <c r="AM294">
        <f t="shared" si="75"/>
        <v>7.8592608466506245E-2</v>
      </c>
      <c r="AN294">
        <f t="shared" si="76"/>
        <v>4.684942903224449E-2</v>
      </c>
    </row>
    <row r="295" spans="1:40">
      <c r="A295" s="37">
        <v>45444</v>
      </c>
      <c r="B295" s="1">
        <v>10.306585999999999</v>
      </c>
      <c r="C295" s="1">
        <v>38.370547999999999</v>
      </c>
      <c r="D295" s="1">
        <v>195.77593999999999</v>
      </c>
      <c r="E295" s="1">
        <v>60.620888000000001</v>
      </c>
      <c r="F295" s="1">
        <v>79.084182999999996</v>
      </c>
      <c r="G295" s="1">
        <v>17.875540000000001</v>
      </c>
      <c r="H295" s="1">
        <v>365.72332799999998</v>
      </c>
      <c r="I295" s="1">
        <v>158.780823</v>
      </c>
      <c r="J295" s="1">
        <v>75.19876099999999</v>
      </c>
      <c r="K295" s="1">
        <v>25.335452999999998</v>
      </c>
      <c r="L295" s="1">
        <v>227.806656</v>
      </c>
      <c r="M295" s="1">
        <v>50.322353</v>
      </c>
      <c r="N295" s="1">
        <v>57.355720999999996</v>
      </c>
      <c r="O295" s="1">
        <v>51.648585999999995</v>
      </c>
      <c r="P295" s="1">
        <v>209.19911199999999</v>
      </c>
      <c r="Q295" s="1">
        <v>193.25</v>
      </c>
      <c r="R295" s="1">
        <v>442.82135</v>
      </c>
      <c r="S295" s="1">
        <v>165.82527199999998</v>
      </c>
      <c r="V295" s="37">
        <v>45444</v>
      </c>
      <c r="W295">
        <f t="shared" si="77"/>
        <v>0.11297853624856954</v>
      </c>
      <c r="X295">
        <f t="shared" si="78"/>
        <v>1.9742694318569461E-2</v>
      </c>
      <c r="Y295">
        <f t="shared" si="80"/>
        <v>5.2111194051730834E-2</v>
      </c>
      <c r="Z295">
        <f t="shared" si="81"/>
        <v>2.237631359012749E-2</v>
      </c>
      <c r="AA295">
        <f t="shared" si="82"/>
        <v>5.7246339637852441E-3</v>
      </c>
      <c r="AB295">
        <f t="shared" si="83"/>
        <v>-9.1686125286285086E-2</v>
      </c>
      <c r="AC295">
        <f t="shared" si="84"/>
        <v>-5.1668839675437952E-4</v>
      </c>
      <c r="AD295">
        <f t="shared" si="85"/>
        <v>-2.522453860816689E-2</v>
      </c>
      <c r="AE295">
        <f t="shared" si="86"/>
        <v>0.33449399518696871</v>
      </c>
      <c r="AF295">
        <f t="shared" si="87"/>
        <v>9.1494041965620401E-2</v>
      </c>
      <c r="AG295">
        <f t="shared" si="88"/>
        <v>9.2809241710654827E-2</v>
      </c>
      <c r="AH295">
        <f t="shared" si="89"/>
        <v>4.6475350625993186E-2</v>
      </c>
      <c r="AI295">
        <f t="shared" si="90"/>
        <v>-8.4188637433386753E-4</v>
      </c>
      <c r="AJ295">
        <f t="shared" si="79"/>
        <v>7.4053760155215156E-2</v>
      </c>
      <c r="AK295">
        <f t="shared" si="73"/>
        <v>5.441087149547754E-2</v>
      </c>
      <c r="AL295">
        <f t="shared" si="74"/>
        <v>-3.2445040103492882E-2</v>
      </c>
      <c r="AM295">
        <f t="shared" si="75"/>
        <v>-6.3989270165045173E-2</v>
      </c>
      <c r="AN295">
        <f t="shared" si="76"/>
        <v>0.11095709223380629</v>
      </c>
    </row>
    <row r="296" spans="1:40">
      <c r="A296" s="37">
        <v>45474</v>
      </c>
      <c r="B296" s="1">
        <v>11.471008999999999</v>
      </c>
      <c r="C296" s="1">
        <v>39.128085999999996</v>
      </c>
      <c r="D296" s="1">
        <v>205.978058</v>
      </c>
      <c r="E296" s="1">
        <v>61.977359999999997</v>
      </c>
      <c r="F296" s="1">
        <v>79.536911000000003</v>
      </c>
      <c r="G296" s="1">
        <v>16.236601</v>
      </c>
      <c r="H296" s="1">
        <v>365.53436299999998</v>
      </c>
      <c r="I296" s="1">
        <v>154.77564999999998</v>
      </c>
      <c r="J296" s="1">
        <v>100.352295</v>
      </c>
      <c r="K296" s="1">
        <v>27.653496000000001</v>
      </c>
      <c r="L296" s="1">
        <v>248.949219</v>
      </c>
      <c r="M296" s="1">
        <v>52.661102</v>
      </c>
      <c r="N296" s="1">
        <v>57.307434000000001</v>
      </c>
      <c r="O296" s="1">
        <v>55.473357999999998</v>
      </c>
      <c r="P296" s="1">
        <v>220.581818</v>
      </c>
      <c r="Q296" s="1">
        <v>186.979996</v>
      </c>
      <c r="R296" s="1">
        <v>414.48553499999997</v>
      </c>
      <c r="S296" s="1">
        <v>184.224762</v>
      </c>
      <c r="V296" s="37">
        <v>45474</v>
      </c>
      <c r="W296">
        <f t="shared" si="77"/>
        <v>2.0973307579132853E-2</v>
      </c>
      <c r="X296">
        <f t="shared" si="78"/>
        <v>1.0915458527667324E-2</v>
      </c>
      <c r="Y296">
        <f t="shared" si="80"/>
        <v>6.2244489167870357E-2</v>
      </c>
      <c r="Z296">
        <f t="shared" si="81"/>
        <v>-3.4525349256567202E-2</v>
      </c>
      <c r="AA296">
        <f t="shared" si="82"/>
        <v>4.4661654008663993E-3</v>
      </c>
      <c r="AB296">
        <f t="shared" si="83"/>
        <v>-9.8958519704955589E-2</v>
      </c>
      <c r="AC296">
        <f t="shared" si="84"/>
        <v>3.699109131362302E-2</v>
      </c>
      <c r="AD296">
        <f t="shared" si="85"/>
        <v>7.3474251279190286E-2</v>
      </c>
      <c r="AE296">
        <f t="shared" si="86"/>
        <v>-3.0865462518819321E-2</v>
      </c>
      <c r="AF296">
        <f t="shared" si="87"/>
        <v>-3.66924673827859E-2</v>
      </c>
      <c r="AG296">
        <f t="shared" si="88"/>
        <v>2.5214989728487461E-2</v>
      </c>
      <c r="AH296">
        <f t="shared" si="89"/>
        <v>2.7572742401023032E-2</v>
      </c>
      <c r="AI296">
        <f t="shared" si="90"/>
        <v>-1.466130903714874E-2</v>
      </c>
      <c r="AJ296">
        <f t="shared" si="79"/>
        <v>2.8844026352253579E-2</v>
      </c>
      <c r="AK296">
        <f t="shared" si="73"/>
        <v>3.1159961697296394E-2</v>
      </c>
      <c r="AL296">
        <f t="shared" si="74"/>
        <v>-4.5352423689216464E-2</v>
      </c>
      <c r="AM296">
        <f t="shared" si="75"/>
        <v>-2.8922408595030199E-3</v>
      </c>
      <c r="AN296">
        <f t="shared" si="76"/>
        <v>5.1993254848118557E-2</v>
      </c>
    </row>
    <row r="297" spans="1:40">
      <c r="A297" s="37">
        <v>45505</v>
      </c>
      <c r="B297" s="1">
        <v>11.711594</v>
      </c>
      <c r="C297" s="1">
        <v>39.555186999999997</v>
      </c>
      <c r="D297" s="1">
        <v>218.79905699999998</v>
      </c>
      <c r="E297" s="1">
        <v>59.837569999999999</v>
      </c>
      <c r="F297" s="1">
        <v>79.892135999999994</v>
      </c>
      <c r="G297" s="1">
        <v>14.629850999999999</v>
      </c>
      <c r="H297" s="1">
        <v>379.05587800000001</v>
      </c>
      <c r="I297" s="1">
        <v>166.14767499999999</v>
      </c>
      <c r="J297" s="1">
        <v>97.254874999999998</v>
      </c>
      <c r="K297" s="1">
        <v>26.638821</v>
      </c>
      <c r="L297" s="1">
        <v>255.22647099999998</v>
      </c>
      <c r="M297" s="1">
        <v>54.113112999999998</v>
      </c>
      <c r="N297" s="1">
        <v>56.467231999999996</v>
      </c>
      <c r="O297" s="1">
        <v>57.073432999999994</v>
      </c>
      <c r="P297" s="1">
        <v>227.455139</v>
      </c>
      <c r="Q297" s="1">
        <v>178.5</v>
      </c>
      <c r="R297" s="1">
        <v>413.286743</v>
      </c>
      <c r="S297" s="1">
        <v>193.80320699999999</v>
      </c>
      <c r="V297" s="37">
        <v>45505</v>
      </c>
      <c r="W297">
        <f t="shared" si="77"/>
        <v>1.105861422450269E-2</v>
      </c>
      <c r="X297">
        <f t="shared" si="78"/>
        <v>-2.6257668810919749E-2</v>
      </c>
      <c r="Y297">
        <f t="shared" si="80"/>
        <v>-6.2010646599816005E-2</v>
      </c>
      <c r="Z297">
        <f t="shared" si="81"/>
        <v>8.9773364794057363E-3</v>
      </c>
      <c r="AA297">
        <f t="shared" si="82"/>
        <v>7.8689146576328819E-2</v>
      </c>
      <c r="AB297">
        <f t="shared" si="83"/>
        <v>7.7071188216476499E-3</v>
      </c>
      <c r="AC297">
        <f t="shared" si="84"/>
        <v>8.1894448290285971E-2</v>
      </c>
      <c r="AD297">
        <f t="shared" si="85"/>
        <v>9.6771321055199814E-3</v>
      </c>
      <c r="AE297">
        <f t="shared" si="86"/>
        <v>7.590863697064032E-2</v>
      </c>
      <c r="AF297">
        <f t="shared" si="87"/>
        <v>-2.4128695485434418E-3</v>
      </c>
      <c r="AG297">
        <f t="shared" si="88"/>
        <v>4.8521264081577344E-2</v>
      </c>
      <c r="AH297">
        <f t="shared" si="89"/>
        <v>1.3471651501550014E-2</v>
      </c>
      <c r="AI297">
        <f t="shared" si="90"/>
        <v>-2.6482810420032581E-2</v>
      </c>
      <c r="AJ297">
        <f t="shared" si="79"/>
        <v>5.5741083596636015E-2</v>
      </c>
      <c r="AK297">
        <f t="shared" si="73"/>
        <v>1.8645021689309888E-2</v>
      </c>
      <c r="AL297">
        <f t="shared" si="74"/>
        <v>4.3865557422969069E-2</v>
      </c>
      <c r="AM297">
        <f t="shared" si="75"/>
        <v>3.3407372082099436E-2</v>
      </c>
      <c r="AN297">
        <f t="shared" si="76"/>
        <v>0.10331785170097837</v>
      </c>
    </row>
    <row r="298" spans="1:40">
      <c r="A298" s="37">
        <v>45536</v>
      </c>
      <c r="B298" s="1">
        <v>11.841108</v>
      </c>
      <c r="C298" s="1">
        <v>38.516559999999998</v>
      </c>
      <c r="D298" s="1">
        <v>205.23118599999998</v>
      </c>
      <c r="E298" s="1">
        <v>60.374751999999994</v>
      </c>
      <c r="F298" s="1">
        <v>86.178779999999989</v>
      </c>
      <c r="G298" s="1">
        <v>14.742604999999999</v>
      </c>
      <c r="H298" s="1">
        <v>410.09844999999996</v>
      </c>
      <c r="I298" s="1">
        <v>167.75550799999999</v>
      </c>
      <c r="J298" s="1">
        <v>104.63736</v>
      </c>
      <c r="K298" s="1">
        <v>26.574545000000001</v>
      </c>
      <c r="L298" s="1">
        <v>267.61038200000002</v>
      </c>
      <c r="M298" s="1">
        <v>54.842105999999994</v>
      </c>
      <c r="N298" s="1">
        <v>54.971820999999998</v>
      </c>
      <c r="O298" s="1">
        <v>60.254767999999999</v>
      </c>
      <c r="P298" s="1">
        <v>231.696045</v>
      </c>
      <c r="Q298" s="1">
        <v>186.33000199999998</v>
      </c>
      <c r="R298" s="1">
        <v>427.09356700000001</v>
      </c>
      <c r="S298" s="1">
        <v>213.826538</v>
      </c>
      <c r="V298" s="37">
        <v>45536</v>
      </c>
      <c r="W298">
        <f t="shared" si="77"/>
        <v>2.1399264325601863E-2</v>
      </c>
      <c r="X298">
        <f t="shared" si="78"/>
        <v>6.0802496380777574E-2</v>
      </c>
      <c r="Y298">
        <f t="shared" si="80"/>
        <v>5.245184813189166E-2</v>
      </c>
      <c r="Z298">
        <f t="shared" si="81"/>
        <v>2.5079871135536988E-2</v>
      </c>
      <c r="AA298">
        <f t="shared" si="82"/>
        <v>1.0199610623404066E-2</v>
      </c>
      <c r="AB298">
        <f t="shared" si="83"/>
        <v>-1.0587681078072751E-2</v>
      </c>
      <c r="AC298">
        <f t="shared" si="84"/>
        <v>-2.6865468523472744E-2</v>
      </c>
      <c r="AD298">
        <f t="shared" si="85"/>
        <v>-4.630478660647025E-2</v>
      </c>
      <c r="AE298">
        <f t="shared" si="86"/>
        <v>-0.1492730512314149</v>
      </c>
      <c r="AF298">
        <f t="shared" si="87"/>
        <v>-2.2114847121559391E-2</v>
      </c>
      <c r="AG298">
        <f t="shared" si="88"/>
        <v>-4.1298621964526022E-3</v>
      </c>
      <c r="AH298">
        <f t="shared" si="89"/>
        <v>3.0536573486073656E-3</v>
      </c>
      <c r="AI298">
        <f t="shared" si="90"/>
        <v>0.14923000276814558</v>
      </c>
      <c r="AJ298">
        <f t="shared" si="79"/>
        <v>-0.12630414575656487</v>
      </c>
      <c r="AK298">
        <f t="shared" si="73"/>
        <v>-3.0429259161501906E-2</v>
      </c>
      <c r="AL298">
        <f t="shared" si="74"/>
        <v>3.7563462270565203E-4</v>
      </c>
      <c r="AM298">
        <f t="shared" si="75"/>
        <v>-5.5658726416733979E-2</v>
      </c>
      <c r="AN298">
        <f t="shared" si="76"/>
        <v>-6.4953911380260937E-2</v>
      </c>
    </row>
    <row r="299" spans="1:40">
      <c r="A299" s="37">
        <v>45566</v>
      </c>
      <c r="B299" s="1">
        <v>12.094498999999999</v>
      </c>
      <c r="C299" s="1">
        <v>40.858463</v>
      </c>
      <c r="D299" s="1">
        <v>215.99594099999999</v>
      </c>
      <c r="E299" s="1">
        <v>61.888942999999998</v>
      </c>
      <c r="F299" s="1">
        <v>87.057769999999991</v>
      </c>
      <c r="G299" s="1">
        <v>14.586514999999999</v>
      </c>
      <c r="H299" s="1">
        <v>399.080963</v>
      </c>
      <c r="I299" s="1">
        <v>159.98762499999998</v>
      </c>
      <c r="J299" s="1">
        <v>89.017821999999995</v>
      </c>
      <c r="K299" s="1">
        <v>25.986853</v>
      </c>
      <c r="L299" s="1">
        <v>266.50518799999998</v>
      </c>
      <c r="M299" s="1">
        <v>55.009574999999998</v>
      </c>
      <c r="N299" s="1">
        <v>63.175266000000001</v>
      </c>
      <c r="O299" s="1">
        <v>52.644340999999997</v>
      </c>
      <c r="P299" s="1">
        <v>224.64570599999999</v>
      </c>
      <c r="Q299" s="1">
        <v>186.39999399999999</v>
      </c>
      <c r="R299" s="1">
        <v>403.32208299999996</v>
      </c>
      <c r="S299" s="1">
        <v>199.937668</v>
      </c>
      <c r="V299" s="37">
        <v>45566</v>
      </c>
      <c r="X299">
        <f t="shared" si="78"/>
        <v>-1</v>
      </c>
      <c r="Y299">
        <f t="shared" si="80"/>
        <v>-1</v>
      </c>
      <c r="Z299">
        <f t="shared" si="81"/>
        <v>-1</v>
      </c>
      <c r="AA299">
        <f t="shared" si="82"/>
        <v>-1</v>
      </c>
      <c r="AB299">
        <f t="shared" si="83"/>
        <v>-1</v>
      </c>
      <c r="AC299">
        <f t="shared" si="84"/>
        <v>-1</v>
      </c>
      <c r="AD299">
        <f t="shared" si="85"/>
        <v>-1</v>
      </c>
      <c r="AE299">
        <f t="shared" si="86"/>
        <v>-1</v>
      </c>
      <c r="AF299">
        <f t="shared" si="87"/>
        <v>-1</v>
      </c>
      <c r="AG299">
        <f t="shared" si="88"/>
        <v>-1</v>
      </c>
      <c r="AH299">
        <f t="shared" si="89"/>
        <v>-1</v>
      </c>
      <c r="AI299">
        <f t="shared" si="90"/>
        <v>-1</v>
      </c>
      <c r="AJ299">
        <f t="shared" si="79"/>
        <v>-1</v>
      </c>
      <c r="AK299">
        <f t="shared" si="73"/>
        <v>-1</v>
      </c>
      <c r="AL299">
        <f t="shared" si="74"/>
        <v>-1</v>
      </c>
      <c r="AM299">
        <f t="shared" si="75"/>
        <v>-1</v>
      </c>
      <c r="AN299">
        <f t="shared" si="76"/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C59EC-FAEC-6342-8E2F-2CF1FC6D690B}">
  <dimension ref="A1:T299"/>
  <sheetViews>
    <sheetView tabSelected="1" workbookViewId="0">
      <pane xSplit="1" ySplit="1" topLeftCell="J120" activePane="bottomRight" state="frozen"/>
      <selection pane="bottomRight" activeCell="L260" sqref="L260"/>
      <selection pane="bottomLeft" activeCell="A2" sqref="A2"/>
      <selection pane="topRight" activeCell="B1" sqref="B1"/>
    </sheetView>
  </sheetViews>
  <sheetFormatPr defaultColWidth="11.42578125" defaultRowHeight="15"/>
  <sheetData>
    <row r="1" spans="1:20">
      <c r="A1" s="3" t="s">
        <v>57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58</v>
      </c>
    </row>
    <row r="2" spans="1:20">
      <c r="A2" s="37">
        <v>36526</v>
      </c>
      <c r="B2" s="5">
        <v>9.4441369999999996</v>
      </c>
      <c r="C2" s="5">
        <v>12.490796999999999</v>
      </c>
      <c r="D2" s="5">
        <v>25.481019999999997</v>
      </c>
      <c r="E2" s="5">
        <v>223.44882199999998</v>
      </c>
      <c r="F2" s="5">
        <v>5.3323719999999994</v>
      </c>
      <c r="G2" s="5">
        <v>10.871687999999999</v>
      </c>
      <c r="H2" s="5">
        <v>13.243672</v>
      </c>
      <c r="I2" s="5">
        <v>25.479960999999999</v>
      </c>
      <c r="J2" s="5">
        <v>12.81861</v>
      </c>
      <c r="K2" s="5">
        <v>13.227181</v>
      </c>
      <c r="L2" s="5">
        <v>33.865257</v>
      </c>
      <c r="M2" s="5">
        <v>33.154582999999995</v>
      </c>
      <c r="N2" s="5">
        <v>9.864647999999999</v>
      </c>
      <c r="O2" s="5">
        <v>4.5905129999999996</v>
      </c>
      <c r="P2" s="5">
        <v>0.77789299999999995</v>
      </c>
      <c r="Q2" s="5">
        <v>3.2281249999999999</v>
      </c>
      <c r="R2" s="5">
        <v>29.949717999999997</v>
      </c>
      <c r="S2" s="5">
        <v>55.557551999999994</v>
      </c>
      <c r="T2" s="6">
        <v>1394.4599609375</v>
      </c>
    </row>
    <row r="3" spans="1:20">
      <c r="A3" s="37">
        <v>36557</v>
      </c>
      <c r="B3" s="5">
        <v>9.4923199999999994</v>
      </c>
      <c r="C3" s="5">
        <v>11.862233999999999</v>
      </c>
      <c r="D3" s="5">
        <v>25.287759999999999</v>
      </c>
      <c r="E3" s="5">
        <v>202.86802699999998</v>
      </c>
      <c r="F3" s="5">
        <v>4.8813269999999997</v>
      </c>
      <c r="G3" s="5">
        <v>9.5821050000000003</v>
      </c>
      <c r="H3" s="5">
        <v>10.837456999999999</v>
      </c>
      <c r="I3" s="5">
        <v>22.215917999999999</v>
      </c>
      <c r="J3" s="5">
        <v>11.734449</v>
      </c>
      <c r="K3" s="5">
        <v>11.74227</v>
      </c>
      <c r="L3" s="5">
        <v>27.62406</v>
      </c>
      <c r="M3" s="5">
        <v>30.660073999999998</v>
      </c>
      <c r="N3" s="5">
        <v>8.1537430000000004</v>
      </c>
      <c r="O3" s="5">
        <v>4.6132409999999995</v>
      </c>
      <c r="P3" s="5">
        <v>0.85943099999999994</v>
      </c>
      <c r="Q3" s="5">
        <v>3.4437499999999996</v>
      </c>
      <c r="R3" s="5">
        <v>27.348721999999999</v>
      </c>
      <c r="S3" s="5">
        <v>50.855601999999998</v>
      </c>
      <c r="T3" s="6">
        <v>1366.420043945312</v>
      </c>
    </row>
    <row r="4" spans="1:20">
      <c r="A4" s="37">
        <v>36586</v>
      </c>
      <c r="B4" s="5">
        <v>10.845604</v>
      </c>
      <c r="C4" s="5">
        <v>13.5223</v>
      </c>
      <c r="D4" s="5">
        <v>27.689496999999999</v>
      </c>
      <c r="E4" s="5">
        <v>235.37127699999999</v>
      </c>
      <c r="F4" s="5">
        <v>5.7165219999999994</v>
      </c>
      <c r="G4" s="5">
        <v>11.034925999999999</v>
      </c>
      <c r="H4" s="5">
        <v>11.519530999999999</v>
      </c>
      <c r="I4" s="5">
        <v>14.347125</v>
      </c>
      <c r="J4" s="5">
        <v>13.456354999999999</v>
      </c>
      <c r="K4" s="5">
        <v>13.398168</v>
      </c>
      <c r="L4" s="5">
        <v>30.660518999999997</v>
      </c>
      <c r="M4" s="5">
        <v>31.241609999999998</v>
      </c>
      <c r="N4" s="5">
        <v>10.10458</v>
      </c>
      <c r="O4" s="5">
        <v>4.8518549999999996</v>
      </c>
      <c r="P4" s="5">
        <v>1.0182899999999999</v>
      </c>
      <c r="Q4" s="5">
        <v>3.3499999999999996</v>
      </c>
      <c r="R4" s="5">
        <v>32.512462999999997</v>
      </c>
      <c r="S4" s="5">
        <v>58.650760999999996</v>
      </c>
      <c r="T4" s="6">
        <v>1498.579956054688</v>
      </c>
    </row>
    <row r="5" spans="1:20">
      <c r="A5" s="37">
        <v>36617</v>
      </c>
      <c r="B5" s="5">
        <v>10.845604</v>
      </c>
      <c r="C5" s="5">
        <v>12.774711999999999</v>
      </c>
      <c r="D5" s="5">
        <v>22.905860999999998</v>
      </c>
      <c r="E5" s="5">
        <v>231.93176299999999</v>
      </c>
      <c r="F5" s="5">
        <v>5.9708169999999994</v>
      </c>
      <c r="G5" s="5">
        <v>8.8801810000000003</v>
      </c>
      <c r="H5" s="5">
        <v>12.312965</v>
      </c>
      <c r="I5" s="5">
        <v>15.105557999999998</v>
      </c>
      <c r="J5" s="5">
        <v>15.195654999999999</v>
      </c>
      <c r="K5" s="5">
        <v>15.436522</v>
      </c>
      <c r="L5" s="5">
        <v>30.776304</v>
      </c>
      <c r="M5" s="5">
        <v>29.968321</v>
      </c>
      <c r="N5" s="5">
        <v>10.182076</v>
      </c>
      <c r="O5" s="5">
        <v>4.2400700000000002</v>
      </c>
      <c r="P5" s="5">
        <v>0.93019099999999999</v>
      </c>
      <c r="Q5" s="5">
        <v>2.7593749999999999</v>
      </c>
      <c r="R5" s="5">
        <v>21.343477</v>
      </c>
      <c r="S5" s="5">
        <v>55.244450000000001</v>
      </c>
      <c r="T5" s="6">
        <v>1452.430053710938</v>
      </c>
    </row>
    <row r="6" spans="1:20">
      <c r="A6" s="37">
        <v>36647</v>
      </c>
      <c r="B6" s="5">
        <v>10.549818999999999</v>
      </c>
      <c r="C6" s="5">
        <v>14.453018999999999</v>
      </c>
      <c r="D6" s="5">
        <v>23.843387999999997</v>
      </c>
      <c r="E6" s="5">
        <v>245.089325</v>
      </c>
      <c r="F6" s="5">
        <v>6.6218089999999998</v>
      </c>
      <c r="G6" s="5">
        <v>10.055498999999999</v>
      </c>
      <c r="H6" s="5">
        <v>12.675115999999999</v>
      </c>
      <c r="I6" s="5">
        <v>16.890380999999998</v>
      </c>
      <c r="J6" s="5">
        <v>13.843508999999999</v>
      </c>
      <c r="K6" s="5">
        <v>16.306826000000001</v>
      </c>
      <c r="L6" s="5">
        <v>33.407055</v>
      </c>
      <c r="M6" s="5">
        <v>28.058347999999999</v>
      </c>
      <c r="N6" s="5">
        <v>11.220428</v>
      </c>
      <c r="O6" s="5">
        <v>4.5036439999999995</v>
      </c>
      <c r="P6" s="5">
        <v>0.62981199999999993</v>
      </c>
      <c r="Q6" s="5">
        <v>2.4156249999999999</v>
      </c>
      <c r="R6" s="5">
        <v>19.144099999999998</v>
      </c>
      <c r="S6" s="5">
        <v>53.169696999999999</v>
      </c>
      <c r="T6" s="6">
        <v>1420.599975585938</v>
      </c>
    </row>
    <row r="7" spans="1:20">
      <c r="A7" s="37">
        <v>36678</v>
      </c>
      <c r="B7" s="5">
        <v>9.8596419999999991</v>
      </c>
      <c r="C7" s="5">
        <v>11.313426</v>
      </c>
      <c r="D7" s="5">
        <v>22.057641999999998</v>
      </c>
      <c r="E7" s="5">
        <v>237.45336899999998</v>
      </c>
      <c r="F7" s="5">
        <v>7.0424739999999995</v>
      </c>
      <c r="G7" s="5">
        <v>8.8148850000000003</v>
      </c>
      <c r="H7" s="5">
        <v>11.283709</v>
      </c>
      <c r="I7" s="5">
        <v>14.413969</v>
      </c>
      <c r="J7" s="5">
        <v>12.233794</v>
      </c>
      <c r="K7" s="5">
        <v>17.623777</v>
      </c>
      <c r="L7" s="5">
        <v>32.247081999999999</v>
      </c>
      <c r="M7" s="5">
        <v>28.827567999999999</v>
      </c>
      <c r="N7" s="5">
        <v>9.6600190000000001</v>
      </c>
      <c r="O7" s="5">
        <v>4.4578039999999994</v>
      </c>
      <c r="P7" s="5">
        <v>0.78539099999999995</v>
      </c>
      <c r="Q7" s="5">
        <v>1.8156249999999998</v>
      </c>
      <c r="R7" s="5">
        <v>24.479969000000001</v>
      </c>
      <c r="S7" s="5">
        <v>54.349975999999998</v>
      </c>
      <c r="T7" s="6">
        <v>1454.599975585938</v>
      </c>
    </row>
    <row r="8" spans="1:20">
      <c r="A8" s="37">
        <v>36708</v>
      </c>
      <c r="B8" s="5">
        <v>8.9599469999999997</v>
      </c>
      <c r="C8" s="5">
        <v>12.464502999999999</v>
      </c>
      <c r="D8" s="5">
        <v>23.853383999999998</v>
      </c>
      <c r="E8" s="5">
        <v>277.85000600000001</v>
      </c>
      <c r="F8" s="5">
        <v>7.0940279999999998</v>
      </c>
      <c r="G8" s="5">
        <v>6.2846849999999996</v>
      </c>
      <c r="H8" s="5">
        <v>11.826718</v>
      </c>
      <c r="I8" s="5">
        <v>14.477466</v>
      </c>
      <c r="J8" s="5">
        <v>13.600714</v>
      </c>
      <c r="K8" s="5">
        <v>15.925649999999999</v>
      </c>
      <c r="L8" s="5">
        <v>35.069671999999997</v>
      </c>
      <c r="M8" s="5">
        <v>30.059127999999998</v>
      </c>
      <c r="N8" s="5">
        <v>10.345564999999999</v>
      </c>
      <c r="O8" s="5">
        <v>4.4203989999999997</v>
      </c>
      <c r="P8" s="5">
        <v>0.76195999999999997</v>
      </c>
      <c r="Q8" s="5">
        <v>1.5062499999999999</v>
      </c>
      <c r="R8" s="5">
        <v>21.362596999999997</v>
      </c>
      <c r="S8" s="5">
        <v>55.683139999999995</v>
      </c>
      <c r="T8" s="6">
        <v>1430.829956054688</v>
      </c>
    </row>
    <row r="9" spans="1:20">
      <c r="A9" s="37">
        <v>36739</v>
      </c>
      <c r="B9" s="5">
        <v>10.155431</v>
      </c>
      <c r="C9" s="5">
        <v>14.096566999999999</v>
      </c>
      <c r="D9" s="5">
        <v>26.943680000000001</v>
      </c>
      <c r="E9" s="5">
        <v>306.83373999999998</v>
      </c>
      <c r="F9" s="5">
        <v>6.7950059999999999</v>
      </c>
      <c r="G9" s="5">
        <v>7.2192270000000001</v>
      </c>
      <c r="H9" s="5">
        <v>10.101592</v>
      </c>
      <c r="I9" s="5">
        <v>15.798699999999998</v>
      </c>
      <c r="J9" s="5">
        <v>13.900964</v>
      </c>
      <c r="K9" s="5">
        <v>15.839587999999999</v>
      </c>
      <c r="L9" s="5">
        <v>36.565826000000001</v>
      </c>
      <c r="M9" s="5">
        <v>28.610916</v>
      </c>
      <c r="N9" s="5">
        <v>10.770142</v>
      </c>
      <c r="O9" s="5">
        <v>5.2882759999999998</v>
      </c>
      <c r="P9" s="5">
        <v>0.91378999999999999</v>
      </c>
      <c r="Q9" s="5">
        <v>2.0749999999999997</v>
      </c>
      <c r="R9" s="5">
        <v>21.362596999999997</v>
      </c>
      <c r="S9" s="5">
        <v>65.488129000000001</v>
      </c>
      <c r="T9" s="6">
        <v>1517.680053710938</v>
      </c>
    </row>
    <row r="10" spans="1:20">
      <c r="A10" s="37">
        <v>36770</v>
      </c>
      <c r="B10" s="5">
        <v>11.047924999999999</v>
      </c>
      <c r="C10" s="5">
        <v>13.916789999999999</v>
      </c>
      <c r="D10" s="5">
        <v>22.272223</v>
      </c>
      <c r="E10" s="5">
        <v>284.83627300000001</v>
      </c>
      <c r="F10" s="5">
        <v>7.5433999999999992</v>
      </c>
      <c r="G10" s="5">
        <v>6.8233739999999994</v>
      </c>
      <c r="H10" s="5">
        <v>10.197431</v>
      </c>
      <c r="I10" s="5">
        <v>17.120235000000001</v>
      </c>
      <c r="J10" s="5">
        <v>12.081348999999999</v>
      </c>
      <c r="K10" s="5">
        <v>16.529015999999999</v>
      </c>
      <c r="L10" s="5">
        <v>37.640426999999995</v>
      </c>
      <c r="M10" s="5">
        <v>28.774640999999999</v>
      </c>
      <c r="N10" s="5">
        <v>11.513292999999999</v>
      </c>
      <c r="O10" s="5">
        <v>5.4618519999999995</v>
      </c>
      <c r="P10" s="5">
        <v>0.38613399999999998</v>
      </c>
      <c r="Q10" s="5">
        <v>1.921875</v>
      </c>
      <c r="R10" s="5">
        <v>18.455600999999998</v>
      </c>
      <c r="S10" s="5">
        <v>55.931694</v>
      </c>
      <c r="T10" s="6">
        <v>1436.510009765625</v>
      </c>
    </row>
    <row r="11" spans="1:20">
      <c r="A11" s="37">
        <v>36800</v>
      </c>
      <c r="B11" s="5">
        <v>11.803606</v>
      </c>
      <c r="C11" s="5">
        <v>12.770901</v>
      </c>
      <c r="D11" s="5">
        <v>21.940705999999999</v>
      </c>
      <c r="E11" s="5">
        <v>277.26263399999999</v>
      </c>
      <c r="F11" s="5">
        <v>7.7416349999999996</v>
      </c>
      <c r="G11" s="5">
        <v>8.5047280000000001</v>
      </c>
      <c r="H11" s="5">
        <v>11.368476999999999</v>
      </c>
      <c r="I11" s="5">
        <v>18.254149999999999</v>
      </c>
      <c r="J11" s="5">
        <v>13.947566999999999</v>
      </c>
      <c r="K11" s="5">
        <v>15.890860999999999</v>
      </c>
      <c r="L11" s="5">
        <v>37.175719999999998</v>
      </c>
      <c r="M11" s="5">
        <v>26.899024999999998</v>
      </c>
      <c r="N11" s="5">
        <v>11.607274</v>
      </c>
      <c r="O11" s="5">
        <v>5.1478950000000001</v>
      </c>
      <c r="P11" s="5">
        <v>0.29335</v>
      </c>
      <c r="Q11" s="5">
        <v>1.8312499999999998</v>
      </c>
      <c r="R11" s="5">
        <v>21.07572</v>
      </c>
      <c r="S11" s="5">
        <v>48.916923999999995</v>
      </c>
      <c r="T11" s="6">
        <v>1429.400024414062</v>
      </c>
    </row>
    <row r="12" spans="1:20">
      <c r="A12" s="37">
        <v>36831</v>
      </c>
      <c r="B12" s="5">
        <v>11.291492</v>
      </c>
      <c r="C12" s="5">
        <v>10.611972</v>
      </c>
      <c r="D12" s="5">
        <v>17.904166999999998</v>
      </c>
      <c r="E12" s="5">
        <v>262.44464099999999</v>
      </c>
      <c r="F12" s="5">
        <v>7.7729399999999993</v>
      </c>
      <c r="G12" s="5">
        <v>7.9660459999999995</v>
      </c>
      <c r="H12" s="5">
        <v>12.565156999999999</v>
      </c>
      <c r="I12" s="5">
        <v>19.224284999999998</v>
      </c>
      <c r="J12" s="5">
        <v>14.111269999999999</v>
      </c>
      <c r="K12" s="5">
        <v>16.3048</v>
      </c>
      <c r="L12" s="5">
        <v>34.083365999999998</v>
      </c>
      <c r="M12" s="5">
        <v>25.846861000000001</v>
      </c>
      <c r="N12" s="5">
        <v>11.889239</v>
      </c>
      <c r="O12" s="5">
        <v>4.8443889999999996</v>
      </c>
      <c r="P12" s="5">
        <v>0.24742599999999998</v>
      </c>
      <c r="Q12" s="5">
        <v>1.234375</v>
      </c>
      <c r="R12" s="5">
        <v>17.556729999999998</v>
      </c>
      <c r="S12" s="5">
        <v>46.433833999999997</v>
      </c>
      <c r="T12" s="6">
        <v>1314.949951171875</v>
      </c>
    </row>
    <row r="13" spans="1:20">
      <c r="A13" s="37">
        <v>36861</v>
      </c>
      <c r="B13" s="5">
        <v>12.865307</v>
      </c>
      <c r="C13" s="5">
        <v>12.360560999999999</v>
      </c>
      <c r="D13" s="5">
        <v>22.061581</v>
      </c>
      <c r="E13" s="5">
        <v>269.76119999999997</v>
      </c>
      <c r="F13" s="5">
        <v>8.891278999999999</v>
      </c>
      <c r="G13" s="5">
        <v>9.1413609999999998</v>
      </c>
      <c r="H13" s="5">
        <v>14.147865999999999</v>
      </c>
      <c r="I13" s="5">
        <v>20.138970999999998</v>
      </c>
      <c r="J13" s="5">
        <v>16.491685999999998</v>
      </c>
      <c r="K13" s="5">
        <v>16.961375999999998</v>
      </c>
      <c r="L13" s="5">
        <v>34.083365999999998</v>
      </c>
      <c r="M13" s="5">
        <v>29.421505</v>
      </c>
      <c r="N13" s="5">
        <v>14.029629999999999</v>
      </c>
      <c r="O13" s="5">
        <v>5.4163759999999996</v>
      </c>
      <c r="P13" s="5">
        <v>0.22305799999999998</v>
      </c>
      <c r="Q13" s="5">
        <v>0.77812499999999996</v>
      </c>
      <c r="R13" s="5">
        <v>13.272736999999999</v>
      </c>
      <c r="S13" s="5">
        <v>42.266292999999997</v>
      </c>
      <c r="T13" s="6">
        <v>1320.280029296875</v>
      </c>
    </row>
    <row r="14" spans="1:20">
      <c r="A14" s="37">
        <v>36892</v>
      </c>
      <c r="B14" s="5">
        <v>13.090135999999999</v>
      </c>
      <c r="C14" s="5">
        <v>14.501265</v>
      </c>
      <c r="D14" s="5">
        <v>26.699670999999999</v>
      </c>
      <c r="E14" s="5">
        <v>295.68719499999997</v>
      </c>
      <c r="F14" s="5">
        <v>9.2157109999999989</v>
      </c>
      <c r="G14" s="5">
        <v>11.638261999999999</v>
      </c>
      <c r="H14" s="5">
        <v>13.318119999999999</v>
      </c>
      <c r="I14" s="5">
        <v>18.445043999999999</v>
      </c>
      <c r="J14" s="5">
        <v>18.148122999999998</v>
      </c>
      <c r="K14" s="5">
        <v>16.647955</v>
      </c>
      <c r="L14" s="5">
        <v>29.220962999999998</v>
      </c>
      <c r="M14" s="5">
        <v>32.012070000000001</v>
      </c>
      <c r="N14" s="5">
        <v>12.977174999999999</v>
      </c>
      <c r="O14" s="5">
        <v>5.5549719999999994</v>
      </c>
      <c r="P14" s="5">
        <v>0.32427800000000001</v>
      </c>
      <c r="Q14" s="5">
        <v>0.86562499999999998</v>
      </c>
      <c r="R14" s="5">
        <v>18.685105999999998</v>
      </c>
      <c r="S14" s="5">
        <v>55.692054999999996</v>
      </c>
      <c r="T14" s="6">
        <v>1366.010009765625</v>
      </c>
    </row>
    <row r="15" spans="1:20">
      <c r="A15" s="37">
        <v>36923</v>
      </c>
      <c r="B15" s="5">
        <v>12.310723999999999</v>
      </c>
      <c r="C15" s="5">
        <v>13.660611999999999</v>
      </c>
      <c r="D15" s="5">
        <v>22.821127000000001</v>
      </c>
      <c r="E15" s="5">
        <v>259.81579599999998</v>
      </c>
      <c r="F15" s="5">
        <v>8.5053809999999999</v>
      </c>
      <c r="G15" s="5">
        <v>12.628141999999999</v>
      </c>
      <c r="H15" s="5">
        <v>12.629256999999999</v>
      </c>
      <c r="I15" s="5">
        <v>18.189509999999999</v>
      </c>
      <c r="J15" s="5">
        <v>18.401944999999998</v>
      </c>
      <c r="K15" s="5">
        <v>16.592655000000001</v>
      </c>
      <c r="L15" s="5">
        <v>27.265197999999998</v>
      </c>
      <c r="M15" s="5">
        <v>32.460037</v>
      </c>
      <c r="N15" s="5">
        <v>12.564148999999999</v>
      </c>
      <c r="O15" s="5">
        <v>5.0256559999999997</v>
      </c>
      <c r="P15" s="5">
        <v>0.27366799999999997</v>
      </c>
      <c r="Q15" s="5">
        <v>0.50937500000000002</v>
      </c>
      <c r="R15" s="5">
        <v>18.053975999999999</v>
      </c>
      <c r="S15" s="5">
        <v>49.675300999999997</v>
      </c>
      <c r="T15" s="6">
        <v>1239.93994140625</v>
      </c>
    </row>
    <row r="16" spans="1:20">
      <c r="A16" s="37">
        <v>36951</v>
      </c>
      <c r="B16" s="5">
        <v>12.810006999999999</v>
      </c>
      <c r="C16" s="5">
        <v>14.914230999999999</v>
      </c>
      <c r="D16" s="5">
        <v>21.960319999999999</v>
      </c>
      <c r="E16" s="5">
        <v>238.22341899999998</v>
      </c>
      <c r="F16" s="5">
        <v>8.56846</v>
      </c>
      <c r="G16" s="5">
        <v>10.852102</v>
      </c>
      <c r="H16" s="5">
        <v>11.276342</v>
      </c>
      <c r="I16" s="5">
        <v>16.151246999999998</v>
      </c>
      <c r="J16" s="5">
        <v>17.423684999999999</v>
      </c>
      <c r="K16" s="5">
        <v>15.136280999999999</v>
      </c>
      <c r="L16" s="5">
        <v>25.662101999999997</v>
      </c>
      <c r="M16" s="5">
        <v>30.167531999999998</v>
      </c>
      <c r="N16" s="5">
        <v>12.521113</v>
      </c>
      <c r="O16" s="5">
        <v>4.7412229999999997</v>
      </c>
      <c r="P16" s="5">
        <v>0.330951</v>
      </c>
      <c r="Q16" s="5">
        <v>0.51149999999999995</v>
      </c>
      <c r="R16" s="5">
        <v>16.734348000000001</v>
      </c>
      <c r="S16" s="5">
        <v>47.880050999999995</v>
      </c>
      <c r="T16" s="6">
        <v>1160.329956054688</v>
      </c>
    </row>
    <row r="17" spans="1:20">
      <c r="A17" s="37">
        <v>36982</v>
      </c>
      <c r="B17" s="5">
        <v>13.146042999999999</v>
      </c>
      <c r="C17" s="5">
        <v>15.254740999999999</v>
      </c>
      <c r="D17" s="5">
        <v>23.466732</v>
      </c>
      <c r="E17" s="5">
        <v>260.30853300000001</v>
      </c>
      <c r="F17" s="5">
        <v>7.784243</v>
      </c>
      <c r="G17" s="5">
        <v>11.225589999999999</v>
      </c>
      <c r="H17" s="5">
        <v>12.820048</v>
      </c>
      <c r="I17" s="5">
        <v>15.493319</v>
      </c>
      <c r="J17" s="5">
        <v>19.296225</v>
      </c>
      <c r="K17" s="5">
        <v>16.004911</v>
      </c>
      <c r="L17" s="5">
        <v>26.370462</v>
      </c>
      <c r="M17" s="5">
        <v>30.211720999999997</v>
      </c>
      <c r="N17" s="5">
        <v>11.888354999999999</v>
      </c>
      <c r="O17" s="5">
        <v>4.8460130000000001</v>
      </c>
      <c r="P17" s="5">
        <v>0.38223599999999996</v>
      </c>
      <c r="Q17" s="5">
        <v>0.78899999999999992</v>
      </c>
      <c r="R17" s="5">
        <v>20.731469999999998</v>
      </c>
      <c r="S17" s="5">
        <v>57.318660999999999</v>
      </c>
      <c r="T17" s="6">
        <v>1249.4599609375</v>
      </c>
    </row>
    <row r="18" spans="1:20">
      <c r="A18" s="37">
        <v>37012</v>
      </c>
      <c r="B18" s="5">
        <v>12.321232999999999</v>
      </c>
      <c r="C18" s="5">
        <v>16.140066000000001</v>
      </c>
      <c r="D18" s="5">
        <v>24.237040999999998</v>
      </c>
      <c r="E18" s="5">
        <v>271.43060299999996</v>
      </c>
      <c r="F18" s="5">
        <v>8.6298329999999996</v>
      </c>
      <c r="G18" s="5">
        <v>11.700944</v>
      </c>
      <c r="H18" s="5">
        <v>11.661968</v>
      </c>
      <c r="I18" s="5">
        <v>16.676055999999999</v>
      </c>
      <c r="J18" s="5">
        <v>20.227771999999998</v>
      </c>
      <c r="K18" s="5">
        <v>15.853363</v>
      </c>
      <c r="L18" s="5">
        <v>26.226846999999999</v>
      </c>
      <c r="M18" s="5">
        <v>30.992215999999999</v>
      </c>
      <c r="N18" s="5">
        <v>11.916191</v>
      </c>
      <c r="O18" s="5">
        <v>4.9450289999999999</v>
      </c>
      <c r="P18" s="5">
        <v>0.29916100000000001</v>
      </c>
      <c r="Q18" s="5">
        <v>0.83449999999999991</v>
      </c>
      <c r="R18" s="5">
        <v>21.169053999999999</v>
      </c>
      <c r="S18" s="5">
        <v>55.655932999999997</v>
      </c>
      <c r="T18" s="6">
        <v>1255.819946289062</v>
      </c>
    </row>
    <row r="19" spans="1:20">
      <c r="A19" s="37">
        <v>37043</v>
      </c>
      <c r="B19" s="5">
        <v>12.779456999999999</v>
      </c>
      <c r="C19" s="5">
        <v>16.507652</v>
      </c>
      <c r="D19" s="5">
        <v>21.929238999999999</v>
      </c>
      <c r="E19" s="5">
        <v>280.62786899999998</v>
      </c>
      <c r="F19" s="5">
        <v>8.9122719999999997</v>
      </c>
      <c r="G19" s="5">
        <v>11.100225999999999</v>
      </c>
      <c r="H19" s="5">
        <v>11.814916999999999</v>
      </c>
      <c r="I19" s="5">
        <v>16.561837999999998</v>
      </c>
      <c r="J19" s="5">
        <v>22.430074999999999</v>
      </c>
      <c r="K19" s="5">
        <v>14.841604999999999</v>
      </c>
      <c r="L19" s="5">
        <v>24.159587999999999</v>
      </c>
      <c r="M19" s="5">
        <v>31.016637999999997</v>
      </c>
      <c r="N19" s="5">
        <v>11.811558999999999</v>
      </c>
      <c r="O19" s="5">
        <v>4.8726699999999994</v>
      </c>
      <c r="P19" s="5">
        <v>0.34864600000000001</v>
      </c>
      <c r="Q19" s="5">
        <v>0.70750000000000002</v>
      </c>
      <c r="R19" s="5">
        <v>22.337972999999998</v>
      </c>
      <c r="S19" s="5">
        <v>56.570609999999995</v>
      </c>
      <c r="T19" s="6">
        <v>1224.380004882812</v>
      </c>
    </row>
    <row r="20" spans="1:20">
      <c r="A20" s="37">
        <v>37073</v>
      </c>
      <c r="B20" s="5">
        <v>12.127751999999999</v>
      </c>
      <c r="C20" s="5">
        <v>17.494868999999998</v>
      </c>
      <c r="D20" s="5">
        <v>21.35228</v>
      </c>
      <c r="E20" s="5">
        <v>266.66027800000001</v>
      </c>
      <c r="F20" s="5">
        <v>9.1849530000000001</v>
      </c>
      <c r="G20" s="5">
        <v>10.081614</v>
      </c>
      <c r="H20" s="5">
        <v>13.170971999999999</v>
      </c>
      <c r="I20" s="5">
        <v>18.436077000000001</v>
      </c>
      <c r="J20" s="5">
        <v>23.345908999999999</v>
      </c>
      <c r="K20" s="5">
        <v>15.275195</v>
      </c>
      <c r="L20" s="5">
        <v>25.112268</v>
      </c>
      <c r="M20" s="5">
        <v>34.192149999999998</v>
      </c>
      <c r="N20" s="5">
        <v>11.717435</v>
      </c>
      <c r="O20" s="5">
        <v>4.9251999999999994</v>
      </c>
      <c r="P20" s="5">
        <v>0.28176599999999996</v>
      </c>
      <c r="Q20" s="5">
        <v>0.62449999999999994</v>
      </c>
      <c r="R20" s="5">
        <v>20.254113999999998</v>
      </c>
      <c r="S20" s="5">
        <v>52.438708999999996</v>
      </c>
      <c r="T20" s="6">
        <v>1211.22998046875</v>
      </c>
    </row>
    <row r="21" spans="1:20">
      <c r="A21" s="37">
        <v>37104</v>
      </c>
      <c r="B21" s="5">
        <v>12.728539</v>
      </c>
      <c r="C21" s="5">
        <v>16.911877</v>
      </c>
      <c r="D21" s="5">
        <v>19.574414999999998</v>
      </c>
      <c r="E21" s="5">
        <v>243.23921199999998</v>
      </c>
      <c r="F21" s="5">
        <v>9.291955999999999</v>
      </c>
      <c r="G21" s="5">
        <v>9.4835089999999997</v>
      </c>
      <c r="H21" s="5">
        <v>13.554017999999999</v>
      </c>
      <c r="I21" s="5">
        <v>19.353756000000001</v>
      </c>
      <c r="J21" s="5">
        <v>22.435435999999999</v>
      </c>
      <c r="K21" s="5">
        <v>14.196802999999999</v>
      </c>
      <c r="L21" s="5">
        <v>22.723637</v>
      </c>
      <c r="M21" s="5">
        <v>31.570502999999999</v>
      </c>
      <c r="N21" s="5">
        <v>11.704706999999999</v>
      </c>
      <c r="O21" s="5">
        <v>5.1695389999999994</v>
      </c>
      <c r="P21" s="5">
        <v>0.278167</v>
      </c>
      <c r="Q21" s="5">
        <v>0.44699999999999995</v>
      </c>
      <c r="R21" s="5">
        <v>17.457274999999999</v>
      </c>
      <c r="S21" s="5">
        <v>49.817008999999999</v>
      </c>
      <c r="T21" s="6">
        <v>1133.579956054688</v>
      </c>
    </row>
    <row r="22" spans="1:20">
      <c r="A22" s="37">
        <v>37135</v>
      </c>
      <c r="B22" s="5">
        <v>11.406888</v>
      </c>
      <c r="C22" s="5">
        <v>16.059414</v>
      </c>
      <c r="D22" s="5">
        <v>16.966132999999999</v>
      </c>
      <c r="E22" s="5">
        <v>215.773224</v>
      </c>
      <c r="F22" s="5">
        <v>8.6686709999999998</v>
      </c>
      <c r="G22" s="5">
        <v>7.3653249999999995</v>
      </c>
      <c r="H22" s="5">
        <v>11.808349999999999</v>
      </c>
      <c r="I22" s="5">
        <v>18.998791000000001</v>
      </c>
      <c r="J22" s="5">
        <v>19.688063</v>
      </c>
      <c r="K22" s="5">
        <v>14.900046</v>
      </c>
      <c r="L22" s="5">
        <v>18.131494999999997</v>
      </c>
      <c r="M22" s="5">
        <v>28.905621999999997</v>
      </c>
      <c r="N22" s="5">
        <v>11.371934</v>
      </c>
      <c r="O22" s="5">
        <v>4.7366599999999996</v>
      </c>
      <c r="P22" s="5">
        <v>0.23257999999999998</v>
      </c>
      <c r="Q22" s="5">
        <v>0.29849999999999999</v>
      </c>
      <c r="R22" s="5">
        <v>15.658002999999999</v>
      </c>
      <c r="S22" s="5">
        <v>45.775326</v>
      </c>
      <c r="T22" s="6">
        <v>1040.93994140625</v>
      </c>
    </row>
    <row r="23" spans="1:20">
      <c r="A23" s="37">
        <v>37165</v>
      </c>
      <c r="B23" s="5">
        <v>12.668595</v>
      </c>
      <c r="C23" s="5">
        <v>16.369721999999999</v>
      </c>
      <c r="D23" s="5">
        <v>17.567281999999999</v>
      </c>
      <c r="E23" s="5">
        <v>242.518372</v>
      </c>
      <c r="F23" s="5">
        <v>7.4547099999999995</v>
      </c>
      <c r="G23" s="5">
        <v>8.355205999999999</v>
      </c>
      <c r="H23" s="5">
        <v>11.681747999999999</v>
      </c>
      <c r="I23" s="5">
        <v>19.257182999999998</v>
      </c>
      <c r="J23" s="5">
        <v>20.641500000000001</v>
      </c>
      <c r="K23" s="5">
        <v>15.568874999999998</v>
      </c>
      <c r="L23" s="5">
        <v>18.362347</v>
      </c>
      <c r="M23" s="5">
        <v>30.549758999999998</v>
      </c>
      <c r="N23" s="5">
        <v>10.105544999999999</v>
      </c>
      <c r="O23" s="5">
        <v>4.3791969999999996</v>
      </c>
      <c r="P23" s="5">
        <v>0.26332099999999997</v>
      </c>
      <c r="Q23" s="5">
        <v>0.34899999999999998</v>
      </c>
      <c r="R23" s="5">
        <v>17.793882</v>
      </c>
      <c r="S23" s="5">
        <v>53.935233999999994</v>
      </c>
      <c r="T23" s="6">
        <v>1059.780029296875</v>
      </c>
    </row>
    <row r="24" spans="1:20">
      <c r="A24" s="37">
        <v>37196</v>
      </c>
      <c r="B24" s="5">
        <v>12.709797999999999</v>
      </c>
      <c r="C24" s="5">
        <v>17.032947999999998</v>
      </c>
      <c r="D24" s="5">
        <v>18.923642999999998</v>
      </c>
      <c r="E24" s="5">
        <v>255.19845599999999</v>
      </c>
      <c r="F24" s="5">
        <v>7.760707</v>
      </c>
      <c r="G24" s="5">
        <v>9.6637269999999997</v>
      </c>
      <c r="H24" s="5">
        <v>12.629183999999999</v>
      </c>
      <c r="I24" s="5">
        <v>20.326592999999999</v>
      </c>
      <c r="J24" s="5">
        <v>22.510657999999999</v>
      </c>
      <c r="K24" s="5">
        <v>16.092793</v>
      </c>
      <c r="L24" s="5">
        <v>20.590436999999998</v>
      </c>
      <c r="M24" s="5">
        <v>33.660281999999995</v>
      </c>
      <c r="N24" s="5">
        <v>10.949804</v>
      </c>
      <c r="O24" s="5">
        <v>4.8889059999999995</v>
      </c>
      <c r="P24" s="5">
        <v>0.31940399999999997</v>
      </c>
      <c r="Q24" s="5">
        <v>0.56599999999999995</v>
      </c>
      <c r="R24" s="5">
        <v>19.648239</v>
      </c>
      <c r="S24" s="5">
        <v>57.688281999999994</v>
      </c>
      <c r="T24" s="6">
        <v>1139.449951171875</v>
      </c>
    </row>
    <row r="25" spans="1:20">
      <c r="A25" s="37">
        <v>37226</v>
      </c>
      <c r="B25" s="5">
        <v>13.858207999999999</v>
      </c>
      <c r="C25" s="5">
        <v>17.468626</v>
      </c>
      <c r="D25" s="5">
        <v>18.236324</v>
      </c>
      <c r="E25" s="5">
        <v>269.89279199999999</v>
      </c>
      <c r="F25" s="5">
        <v>8.0364869999999993</v>
      </c>
      <c r="G25" s="5">
        <v>10.682333999999999</v>
      </c>
      <c r="H25" s="5">
        <v>13.788190999999999</v>
      </c>
      <c r="I25" s="5">
        <v>20.764827999999998</v>
      </c>
      <c r="J25" s="5">
        <v>25.229175999999999</v>
      </c>
      <c r="K25" s="5">
        <v>14.845511</v>
      </c>
      <c r="L25" s="5">
        <v>22.329770999999997</v>
      </c>
      <c r="M25" s="5">
        <v>32.120567000000001</v>
      </c>
      <c r="N25" s="5">
        <v>11.189836</v>
      </c>
      <c r="O25" s="5">
        <v>5.0075789999999998</v>
      </c>
      <c r="P25" s="5">
        <v>0.32840199999999997</v>
      </c>
      <c r="Q25" s="5">
        <v>0.54099999999999993</v>
      </c>
      <c r="R25" s="5">
        <v>20.272487999999999</v>
      </c>
      <c r="S25" s="5">
        <v>60.442802</v>
      </c>
      <c r="T25" s="6">
        <v>1148.079956054688</v>
      </c>
    </row>
    <row r="26" spans="1:20">
      <c r="A26" s="37">
        <v>37257</v>
      </c>
      <c r="B26" s="5">
        <v>13.223749</v>
      </c>
      <c r="C26" s="5">
        <v>17.660800999999999</v>
      </c>
      <c r="D26" s="5">
        <v>17.082453000000001</v>
      </c>
      <c r="E26" s="5">
        <v>253.42529299999998</v>
      </c>
      <c r="F26" s="5">
        <v>8.0117399999999996</v>
      </c>
      <c r="G26" s="5">
        <v>10.870386</v>
      </c>
      <c r="H26" s="5">
        <v>13.955983</v>
      </c>
      <c r="I26" s="5">
        <v>21.433986999999998</v>
      </c>
      <c r="J26" s="5">
        <v>23.999410999999998</v>
      </c>
      <c r="K26" s="5">
        <v>15.523522</v>
      </c>
      <c r="L26" s="5">
        <v>22.429873999999998</v>
      </c>
      <c r="M26" s="5">
        <v>31.288784</v>
      </c>
      <c r="N26" s="5">
        <v>11.941485999999999</v>
      </c>
      <c r="O26" s="5">
        <v>5.2593869999999994</v>
      </c>
      <c r="P26" s="5">
        <v>0.37068999999999996</v>
      </c>
      <c r="Q26" s="5">
        <v>0.70950000000000002</v>
      </c>
      <c r="R26" s="5">
        <v>19.495236999999999</v>
      </c>
      <c r="S26" s="5">
        <v>53.911830999999999</v>
      </c>
      <c r="T26" s="6">
        <v>1130.199951171875</v>
      </c>
    </row>
    <row r="27" spans="1:20">
      <c r="A27" s="37">
        <v>37288</v>
      </c>
      <c r="B27" s="5">
        <v>12.431700999999999</v>
      </c>
      <c r="C27" s="5">
        <v>17.918592</v>
      </c>
      <c r="D27" s="5">
        <v>14.812899</v>
      </c>
      <c r="E27" s="5">
        <v>242.747894</v>
      </c>
      <c r="F27" s="5">
        <v>8.072792999999999</v>
      </c>
      <c r="G27" s="5">
        <v>10.946126</v>
      </c>
      <c r="H27" s="5">
        <v>15.21288</v>
      </c>
      <c r="I27" s="5">
        <v>22.356753999999999</v>
      </c>
      <c r="J27" s="5">
        <v>27.320332000000001</v>
      </c>
      <c r="K27" s="5">
        <v>15.259022</v>
      </c>
      <c r="L27" s="5">
        <v>22.856496999999997</v>
      </c>
      <c r="M27" s="5">
        <v>32.60331</v>
      </c>
      <c r="N27" s="5">
        <v>12.141822999999999</v>
      </c>
      <c r="O27" s="5">
        <v>5.2063009999999998</v>
      </c>
      <c r="P27" s="5">
        <v>0.325403</v>
      </c>
      <c r="Q27" s="5">
        <v>0.70499999999999996</v>
      </c>
      <c r="R27" s="5">
        <v>17.852024</v>
      </c>
      <c r="S27" s="5">
        <v>49.029823</v>
      </c>
      <c r="T27" s="6">
        <v>1106.72998046875</v>
      </c>
    </row>
    <row r="28" spans="1:20">
      <c r="A28" s="37">
        <v>37316</v>
      </c>
      <c r="B28" s="5">
        <v>13.002473</v>
      </c>
      <c r="C28" s="5">
        <v>19.240379000000001</v>
      </c>
      <c r="D28" s="5">
        <v>18.054019999999998</v>
      </c>
      <c r="E28" s="5">
        <v>265.65484599999996</v>
      </c>
      <c r="F28" s="5">
        <v>8.6962609999999998</v>
      </c>
      <c r="G28" s="5">
        <v>10.669271999999999</v>
      </c>
      <c r="H28" s="5">
        <v>14.457471</v>
      </c>
      <c r="I28" s="5">
        <v>23.754220999999998</v>
      </c>
      <c r="J28" s="5">
        <v>25.174792999999998</v>
      </c>
      <c r="K28" s="5">
        <v>14.851405999999999</v>
      </c>
      <c r="L28" s="5">
        <v>25.684566</v>
      </c>
      <c r="M28" s="5">
        <v>35.645325</v>
      </c>
      <c r="N28" s="5">
        <v>12.789031999999999</v>
      </c>
      <c r="O28" s="5">
        <v>5.3911189999999998</v>
      </c>
      <c r="P28" s="5">
        <v>0.35494399999999998</v>
      </c>
      <c r="Q28" s="5">
        <v>0.71499999999999997</v>
      </c>
      <c r="R28" s="5">
        <v>18.454836</v>
      </c>
      <c r="S28" s="5">
        <v>52.036574999999999</v>
      </c>
      <c r="T28" s="6">
        <v>1147.390014648438</v>
      </c>
    </row>
    <row r="29" spans="1:20">
      <c r="A29" s="37">
        <v>37347</v>
      </c>
      <c r="B29" s="5">
        <v>15.051888</v>
      </c>
      <c r="C29" s="5">
        <v>20.501954999999999</v>
      </c>
      <c r="D29" s="5">
        <v>17.775482</v>
      </c>
      <c r="E29" s="5">
        <v>232.287094</v>
      </c>
      <c r="F29" s="5">
        <v>8.5565179999999987</v>
      </c>
      <c r="G29" s="5">
        <v>10.376749999999999</v>
      </c>
      <c r="H29" s="5">
        <v>14.278148999999999</v>
      </c>
      <c r="I29" s="5">
        <v>23.799037999999999</v>
      </c>
      <c r="J29" s="5">
        <v>25.299999</v>
      </c>
      <c r="K29" s="5">
        <v>13.584519999999999</v>
      </c>
      <c r="L29" s="5">
        <v>25.715916</v>
      </c>
      <c r="M29" s="5">
        <v>34.677093999999997</v>
      </c>
      <c r="N29" s="5">
        <v>13.242084999999999</v>
      </c>
      <c r="O29" s="5">
        <v>5.2821069999999999</v>
      </c>
      <c r="P29" s="5">
        <v>0.36394099999999996</v>
      </c>
      <c r="Q29" s="5">
        <v>0.83449999999999991</v>
      </c>
      <c r="R29" s="5">
        <v>15.991531999999999</v>
      </c>
      <c r="S29" s="5">
        <v>41.909450999999997</v>
      </c>
      <c r="T29" s="6">
        <v>1076.920043945312</v>
      </c>
    </row>
    <row r="30" spans="1:20">
      <c r="A30" s="37">
        <v>37377</v>
      </c>
      <c r="B30" s="5">
        <v>15.025542999999999</v>
      </c>
      <c r="C30" s="5">
        <v>21.443897</v>
      </c>
      <c r="D30" s="5">
        <v>18.382956999999998</v>
      </c>
      <c r="E30" s="5">
        <v>231.643204</v>
      </c>
      <c r="F30" s="5">
        <v>8.8718369999999993</v>
      </c>
      <c r="G30" s="5">
        <v>10.815531999999999</v>
      </c>
      <c r="H30" s="5">
        <v>14.992697999999999</v>
      </c>
      <c r="I30" s="5">
        <v>23.710621</v>
      </c>
      <c r="J30" s="5">
        <v>23.177146999999998</v>
      </c>
      <c r="K30" s="5">
        <v>12.93052</v>
      </c>
      <c r="L30" s="5">
        <v>26.710113999999997</v>
      </c>
      <c r="M30" s="5">
        <v>37.440230999999997</v>
      </c>
      <c r="N30" s="5">
        <v>13.565691999999999</v>
      </c>
      <c r="O30" s="5">
        <v>5.0258469999999997</v>
      </c>
      <c r="P30" s="5">
        <v>0.34939500000000001</v>
      </c>
      <c r="Q30" s="5">
        <v>0.91149999999999998</v>
      </c>
      <c r="R30" s="5">
        <v>15.578441</v>
      </c>
      <c r="S30" s="5">
        <v>40.253295999999999</v>
      </c>
      <c r="T30" s="6">
        <v>1067.140014648438</v>
      </c>
    </row>
    <row r="31" spans="1:20">
      <c r="A31" s="37">
        <v>37408</v>
      </c>
      <c r="B31" s="5">
        <v>14.207880999999999</v>
      </c>
      <c r="C31" s="5">
        <v>19.902284999999999</v>
      </c>
      <c r="D31" s="5">
        <v>17.344922999999998</v>
      </c>
      <c r="E31" s="5">
        <v>208.73287999999999</v>
      </c>
      <c r="F31" s="5">
        <v>8.563777</v>
      </c>
      <c r="G31" s="5">
        <v>10.368917</v>
      </c>
      <c r="H31" s="5">
        <v>15.279798999999999</v>
      </c>
      <c r="I31" s="5">
        <v>23.644431999999998</v>
      </c>
      <c r="J31" s="5">
        <v>22.452718999999998</v>
      </c>
      <c r="K31" s="5">
        <v>13.125665</v>
      </c>
      <c r="L31" s="5">
        <v>22.820785999999998</v>
      </c>
      <c r="M31" s="5">
        <v>38.460811999999997</v>
      </c>
      <c r="N31" s="5">
        <v>13.031025</v>
      </c>
      <c r="O31" s="5">
        <v>4.6682779999999999</v>
      </c>
      <c r="P31" s="5">
        <v>0.26572099999999998</v>
      </c>
      <c r="Q31" s="5">
        <v>0.8125</v>
      </c>
      <c r="R31" s="5">
        <v>16.738181999999998</v>
      </c>
      <c r="S31" s="5">
        <v>36.096077000000001</v>
      </c>
      <c r="T31" s="6">
        <v>989.82000732421875</v>
      </c>
    </row>
    <row r="32" spans="1:20">
      <c r="A32" s="37">
        <v>37438</v>
      </c>
      <c r="B32" s="5">
        <v>12.846527</v>
      </c>
      <c r="C32" s="5">
        <v>18.963366999999998</v>
      </c>
      <c r="D32" s="5">
        <v>12.763249</v>
      </c>
      <c r="E32" s="5">
        <v>180.66836499999999</v>
      </c>
      <c r="F32" s="5">
        <v>8.0666409999999988</v>
      </c>
      <c r="G32" s="5">
        <v>9.823046999999999</v>
      </c>
      <c r="H32" s="5">
        <v>13.468883</v>
      </c>
      <c r="I32" s="5">
        <v>23.745315999999999</v>
      </c>
      <c r="J32" s="5">
        <v>19.759053999999999</v>
      </c>
      <c r="K32" s="5">
        <v>12.131867</v>
      </c>
      <c r="L32" s="5">
        <v>22.154750999999997</v>
      </c>
      <c r="M32" s="5">
        <v>33.793239999999997</v>
      </c>
      <c r="N32" s="5">
        <v>13.239269999999999</v>
      </c>
      <c r="O32" s="5">
        <v>4.1766990000000002</v>
      </c>
      <c r="P32" s="5">
        <v>0.22883199999999998</v>
      </c>
      <c r="Q32" s="5">
        <v>0.72249999999999992</v>
      </c>
      <c r="R32" s="5">
        <v>14.681866999999999</v>
      </c>
      <c r="S32" s="5">
        <v>35.293956999999999</v>
      </c>
      <c r="T32" s="6">
        <v>911.6199951171875</v>
      </c>
    </row>
    <row r="33" spans="1:20">
      <c r="A33" s="37">
        <v>37469</v>
      </c>
      <c r="B33" s="5">
        <v>12.180593</v>
      </c>
      <c r="C33" s="5">
        <v>19.984254999999997</v>
      </c>
      <c r="D33" s="5">
        <v>13.647549999999999</v>
      </c>
      <c r="E33" s="5">
        <v>176.412857</v>
      </c>
      <c r="F33" s="5">
        <v>8.7562949999999997</v>
      </c>
      <c r="G33" s="5">
        <v>9.3764240000000001</v>
      </c>
      <c r="H33" s="5">
        <v>14.718966</v>
      </c>
      <c r="I33" s="5">
        <v>23.774570000000001</v>
      </c>
      <c r="J33" s="5">
        <v>19.096594</v>
      </c>
      <c r="K33" s="5">
        <v>12.405638</v>
      </c>
      <c r="L33" s="5">
        <v>22.706367</v>
      </c>
      <c r="M33" s="5">
        <v>35.249522999999996</v>
      </c>
      <c r="N33" s="5">
        <v>13.585481</v>
      </c>
      <c r="O33" s="5">
        <v>4.4582299999999995</v>
      </c>
      <c r="P33" s="5">
        <v>0.22118399999999999</v>
      </c>
      <c r="Q33" s="5">
        <v>0.747</v>
      </c>
      <c r="R33" s="5">
        <v>15.018455999999999</v>
      </c>
      <c r="S33" s="5">
        <v>37.790596000000001</v>
      </c>
      <c r="T33" s="6">
        <v>916.07000732421875</v>
      </c>
    </row>
    <row r="34" spans="1:20">
      <c r="A34" s="37">
        <v>37500</v>
      </c>
      <c r="B34" s="5">
        <v>10.182686</v>
      </c>
      <c r="C34" s="5">
        <v>18.19342</v>
      </c>
      <c r="D34" s="5">
        <v>9.8169269999999997</v>
      </c>
      <c r="E34" s="5">
        <v>172.19520599999998</v>
      </c>
      <c r="F34" s="5">
        <v>8.513477</v>
      </c>
      <c r="G34" s="5">
        <v>7.6891889999999998</v>
      </c>
      <c r="H34" s="5">
        <v>14.568309999999999</v>
      </c>
      <c r="I34" s="5">
        <v>23.970337000000001</v>
      </c>
      <c r="J34" s="5">
        <v>18.017105000000001</v>
      </c>
      <c r="K34" s="5">
        <v>10.927754</v>
      </c>
      <c r="L34" s="5">
        <v>19.633516</v>
      </c>
      <c r="M34" s="5">
        <v>34.039867000000001</v>
      </c>
      <c r="N34" s="5">
        <v>12.608499999999999</v>
      </c>
      <c r="O34" s="5">
        <v>3.5412469999999998</v>
      </c>
      <c r="P34" s="5">
        <v>0.21743499999999999</v>
      </c>
      <c r="Q34" s="5">
        <v>0.79649999999999999</v>
      </c>
      <c r="R34" s="5">
        <v>13.384418999999999</v>
      </c>
      <c r="S34" s="5">
        <v>29.297536999999998</v>
      </c>
      <c r="T34" s="6">
        <v>815.280029296875</v>
      </c>
    </row>
    <row r="35" spans="1:20">
      <c r="A35" s="37">
        <v>37530</v>
      </c>
      <c r="B35" s="5">
        <v>12.029017</v>
      </c>
      <c r="C35" s="5">
        <v>20.0839</v>
      </c>
      <c r="D35" s="5">
        <v>10.726768</v>
      </c>
      <c r="E35" s="5">
        <v>214.59066799999999</v>
      </c>
      <c r="F35" s="5">
        <v>9.0469480000000004</v>
      </c>
      <c r="G35" s="5">
        <v>8.0182789999999997</v>
      </c>
      <c r="H35" s="5">
        <v>14.942183</v>
      </c>
      <c r="I35" s="5">
        <v>23.720931999999998</v>
      </c>
      <c r="J35" s="5">
        <v>17.851665000000001</v>
      </c>
      <c r="K35" s="5">
        <v>11.963298</v>
      </c>
      <c r="L35" s="5">
        <v>22.901565999999999</v>
      </c>
      <c r="M35" s="5">
        <v>36.256751999999999</v>
      </c>
      <c r="N35" s="5">
        <v>13.213267</v>
      </c>
      <c r="O35" s="5">
        <v>3.9022289999999997</v>
      </c>
      <c r="P35" s="5">
        <v>0.240978</v>
      </c>
      <c r="Q35" s="5">
        <v>0.96799999999999997</v>
      </c>
      <c r="R35" s="5">
        <v>16.361791999999998</v>
      </c>
      <c r="S35" s="5">
        <v>39.662970999999999</v>
      </c>
      <c r="T35" s="6">
        <v>885.760009765625</v>
      </c>
    </row>
    <row r="36" spans="1:20">
      <c r="A36" s="37">
        <v>37561</v>
      </c>
      <c r="B36" s="5">
        <v>12.573062</v>
      </c>
      <c r="C36" s="5">
        <v>20.164477999999999</v>
      </c>
      <c r="D36" s="5">
        <v>13.239740999999999</v>
      </c>
      <c r="E36" s="5">
        <v>226.90081799999999</v>
      </c>
      <c r="F36" s="5">
        <v>9.5698489999999996</v>
      </c>
      <c r="G36" s="5">
        <v>8.5354229999999998</v>
      </c>
      <c r="H36" s="5">
        <v>16.475376000000001</v>
      </c>
      <c r="I36" s="5">
        <v>22.772907</v>
      </c>
      <c r="J36" s="5">
        <v>19.82048</v>
      </c>
      <c r="K36" s="5">
        <v>11.872921999999999</v>
      </c>
      <c r="L36" s="5">
        <v>24.573643000000001</v>
      </c>
      <c r="M36" s="5">
        <v>35.979641000000001</v>
      </c>
      <c r="N36" s="5">
        <v>12.097984</v>
      </c>
      <c r="O36" s="5">
        <v>4.3836339999999998</v>
      </c>
      <c r="P36" s="5">
        <v>0.232431</v>
      </c>
      <c r="Q36" s="5">
        <v>1.1675</v>
      </c>
      <c r="R36" s="5">
        <v>17.650058999999999</v>
      </c>
      <c r="S36" s="5">
        <v>43.672461999999996</v>
      </c>
      <c r="T36" s="6">
        <v>936.30999755859375</v>
      </c>
    </row>
    <row r="37" spans="1:20">
      <c r="A37" s="37">
        <v>37591</v>
      </c>
      <c r="B37" s="5">
        <v>10.581078999999999</v>
      </c>
      <c r="C37" s="5">
        <v>20.017734999999998</v>
      </c>
      <c r="D37" s="5">
        <v>12.624302</v>
      </c>
      <c r="E37" s="5">
        <v>205.366241</v>
      </c>
      <c r="F37" s="5">
        <v>9.8751870000000004</v>
      </c>
      <c r="G37" s="5">
        <v>7.51159</v>
      </c>
      <c r="H37" s="5">
        <v>14.768258999999999</v>
      </c>
      <c r="I37" s="5">
        <v>23.152768999999999</v>
      </c>
      <c r="J37" s="5">
        <v>19.218738999999999</v>
      </c>
      <c r="K37" s="5">
        <v>11.55617</v>
      </c>
      <c r="L37" s="5">
        <v>22.313852000000001</v>
      </c>
      <c r="M37" s="5">
        <v>34.348697999999999</v>
      </c>
      <c r="N37" s="5">
        <v>12.339905</v>
      </c>
      <c r="O37" s="5">
        <v>4.4162720000000002</v>
      </c>
      <c r="P37" s="5">
        <v>0.21488599999999999</v>
      </c>
      <c r="Q37" s="5">
        <v>0.94450000000000001</v>
      </c>
      <c r="R37" s="5">
        <v>15.820188999999999</v>
      </c>
      <c r="S37" s="5">
        <v>39.011100999999996</v>
      </c>
      <c r="T37" s="6">
        <v>879.82000732421875</v>
      </c>
    </row>
    <row r="38" spans="1:20">
      <c r="A38" s="37">
        <v>37622</v>
      </c>
      <c r="B38" s="5">
        <v>10.285496999999999</v>
      </c>
      <c r="C38" s="5">
        <v>20.343726999999998</v>
      </c>
      <c r="D38" s="5">
        <v>12.277132999999999</v>
      </c>
      <c r="E38" s="5">
        <v>200.46412699999999</v>
      </c>
      <c r="F38" s="5">
        <v>10.176805999999999</v>
      </c>
      <c r="G38" s="5">
        <v>6.7959489999999994</v>
      </c>
      <c r="H38" s="5">
        <v>13.655970999999999</v>
      </c>
      <c r="I38" s="5">
        <v>23.053089</v>
      </c>
      <c r="J38" s="5">
        <v>14.794758999999999</v>
      </c>
      <c r="K38" s="5">
        <v>11.476785999999999</v>
      </c>
      <c r="L38" s="5">
        <v>22.477905</v>
      </c>
      <c r="M38" s="5">
        <v>36.684680999999998</v>
      </c>
      <c r="N38" s="5">
        <v>12.471542999999999</v>
      </c>
      <c r="O38" s="5">
        <v>4.401446</v>
      </c>
      <c r="P38" s="5">
        <v>0.215336</v>
      </c>
      <c r="Q38" s="5">
        <v>1.0925</v>
      </c>
      <c r="R38" s="5">
        <v>14.522744999999999</v>
      </c>
      <c r="S38" s="5">
        <v>39.363453</v>
      </c>
      <c r="T38" s="6">
        <v>855.70001220703125</v>
      </c>
    </row>
    <row r="39" spans="1:20">
      <c r="A39" s="37">
        <v>37653</v>
      </c>
      <c r="B39" s="5">
        <v>9.857113</v>
      </c>
      <c r="C39" s="5">
        <v>20.108491999999998</v>
      </c>
      <c r="D39" s="5">
        <v>12.1014</v>
      </c>
      <c r="E39" s="5">
        <v>195.670593</v>
      </c>
      <c r="F39" s="5">
        <v>10.593857</v>
      </c>
      <c r="G39" s="5">
        <v>6.6601330000000001</v>
      </c>
      <c r="H39" s="5">
        <v>13.390618</v>
      </c>
      <c r="I39" s="5">
        <v>22.159223999999998</v>
      </c>
      <c r="J39" s="5">
        <v>14.344581999999999</v>
      </c>
      <c r="K39" s="5">
        <v>11.327430999999999</v>
      </c>
      <c r="L39" s="5">
        <v>21.244242</v>
      </c>
      <c r="M39" s="5">
        <v>34.897014999999996</v>
      </c>
      <c r="N39" s="5">
        <v>11.939719</v>
      </c>
      <c r="O39" s="5">
        <v>4.6575600000000001</v>
      </c>
      <c r="P39" s="5">
        <v>0.22508299999999998</v>
      </c>
      <c r="Q39" s="5">
        <v>1.1005</v>
      </c>
      <c r="R39" s="5">
        <v>14.504384999999999</v>
      </c>
      <c r="S39" s="5">
        <v>39.237601999999995</v>
      </c>
      <c r="T39" s="6">
        <v>841.1500244140625</v>
      </c>
    </row>
    <row r="40" spans="1:20">
      <c r="A40" s="37">
        <v>37681</v>
      </c>
      <c r="B40" s="5">
        <v>10.375406999999999</v>
      </c>
      <c r="C40" s="5">
        <v>19.411479999999997</v>
      </c>
      <c r="D40" s="5">
        <v>12.650983</v>
      </c>
      <c r="E40" s="5">
        <v>202.185181</v>
      </c>
      <c r="F40" s="5">
        <v>10.298534</v>
      </c>
      <c r="G40" s="5">
        <v>7.3183109999999996</v>
      </c>
      <c r="H40" s="5">
        <v>12.704580999999999</v>
      </c>
      <c r="I40" s="5">
        <v>24.105532</v>
      </c>
      <c r="J40" s="5">
        <v>13.333072</v>
      </c>
      <c r="K40" s="5">
        <v>11.836442</v>
      </c>
      <c r="L40" s="5">
        <v>21.022815999999999</v>
      </c>
      <c r="M40" s="5">
        <v>32.500270999999998</v>
      </c>
      <c r="N40" s="5">
        <v>11.920987999999999</v>
      </c>
      <c r="O40" s="5">
        <v>4.5770080000000002</v>
      </c>
      <c r="P40" s="5">
        <v>0.212037</v>
      </c>
      <c r="Q40" s="5">
        <v>1.3014999999999999</v>
      </c>
      <c r="R40" s="5">
        <v>14.864141</v>
      </c>
      <c r="S40" s="5">
        <v>39.556014999999995</v>
      </c>
      <c r="T40" s="6">
        <v>848.17999267578125</v>
      </c>
    </row>
    <row r="41" spans="1:20">
      <c r="A41" s="37">
        <v>37712</v>
      </c>
      <c r="B41" s="5">
        <v>12.455824999999999</v>
      </c>
      <c r="C41" s="5">
        <v>21.709564</v>
      </c>
      <c r="D41" s="5">
        <v>15.660328</v>
      </c>
      <c r="E41" s="5">
        <v>230.35612499999999</v>
      </c>
      <c r="F41" s="5">
        <v>10.517249999999999</v>
      </c>
      <c r="G41" s="5">
        <v>7.9973859999999997</v>
      </c>
      <c r="H41" s="5">
        <v>14.326920999999999</v>
      </c>
      <c r="I41" s="5">
        <v>24.322080999999997</v>
      </c>
      <c r="J41" s="5">
        <v>13.492315999999999</v>
      </c>
      <c r="K41" s="5">
        <v>11.680705</v>
      </c>
      <c r="L41" s="5">
        <v>23.951961999999998</v>
      </c>
      <c r="M41" s="5">
        <v>34.933098000000001</v>
      </c>
      <c r="N41" s="5">
        <v>12.787434999999999</v>
      </c>
      <c r="O41" s="5">
        <v>4.933109</v>
      </c>
      <c r="P41" s="5">
        <v>0.21323699999999998</v>
      </c>
      <c r="Q41" s="5">
        <v>1.4344999999999999</v>
      </c>
      <c r="R41" s="5">
        <v>15.699138</v>
      </c>
      <c r="S41" s="5">
        <v>42.819156999999997</v>
      </c>
      <c r="T41" s="6">
        <v>916.91998291015625</v>
      </c>
    </row>
    <row r="42" spans="1:20">
      <c r="A42" s="37">
        <v>37742</v>
      </c>
      <c r="B42" s="5">
        <v>12.824786999999999</v>
      </c>
      <c r="C42" s="5">
        <v>21.753539999999997</v>
      </c>
      <c r="D42" s="5">
        <v>17.782684</v>
      </c>
      <c r="E42" s="5">
        <v>240.744202</v>
      </c>
      <c r="F42" s="5">
        <v>11.052726</v>
      </c>
      <c r="G42" s="5">
        <v>8.4884070000000005</v>
      </c>
      <c r="H42" s="5">
        <v>14.209778</v>
      </c>
      <c r="I42" s="5">
        <v>24.969175</v>
      </c>
      <c r="J42" s="5">
        <v>15.698922999999999</v>
      </c>
      <c r="K42" s="5">
        <v>11.783258</v>
      </c>
      <c r="L42" s="5">
        <v>26.418889999999998</v>
      </c>
      <c r="M42" s="5">
        <v>36.077964999999999</v>
      </c>
      <c r="N42" s="5">
        <v>12.798029</v>
      </c>
      <c r="O42" s="5">
        <v>5.3827109999999996</v>
      </c>
      <c r="P42" s="5">
        <v>0.26916999999999996</v>
      </c>
      <c r="Q42" s="5">
        <v>1.7945</v>
      </c>
      <c r="R42" s="5">
        <v>15.109734</v>
      </c>
      <c r="S42" s="5">
        <v>44.402812999999995</v>
      </c>
      <c r="T42" s="6">
        <v>963.59002685546875</v>
      </c>
    </row>
    <row r="43" spans="1:20">
      <c r="A43" s="37">
        <v>37773</v>
      </c>
      <c r="B43" s="5">
        <v>13.300438</v>
      </c>
      <c r="C43" s="5">
        <v>23.169573</v>
      </c>
      <c r="D43" s="5">
        <v>18.497028</v>
      </c>
      <c r="E43" s="5">
        <v>252.47732499999998</v>
      </c>
      <c r="F43" s="5">
        <v>12.114307999999999</v>
      </c>
      <c r="G43" s="5">
        <v>9.6245529999999988</v>
      </c>
      <c r="H43" s="5">
        <v>14.870324999999999</v>
      </c>
      <c r="I43" s="5">
        <v>24.251262999999998</v>
      </c>
      <c r="J43" s="5">
        <v>15.641893</v>
      </c>
      <c r="K43" s="5">
        <v>13.030942</v>
      </c>
      <c r="L43" s="5">
        <v>26.514001999999998</v>
      </c>
      <c r="M43" s="5">
        <v>34.376801</v>
      </c>
      <c r="N43" s="5">
        <v>13.437778</v>
      </c>
      <c r="O43" s="5">
        <v>5.8093170000000001</v>
      </c>
      <c r="P43" s="5">
        <v>0.28581499999999999</v>
      </c>
      <c r="Q43" s="5">
        <v>1.8159999999999998</v>
      </c>
      <c r="R43" s="5">
        <v>15.742111999999999</v>
      </c>
      <c r="S43" s="5">
        <v>41.684933000000001</v>
      </c>
      <c r="T43" s="6">
        <v>974.5</v>
      </c>
    </row>
    <row r="44" spans="1:20">
      <c r="A44" s="37">
        <v>37803</v>
      </c>
      <c r="B44" s="5">
        <v>13.447135999999999</v>
      </c>
      <c r="C44" s="5">
        <v>24.413778000000001</v>
      </c>
      <c r="D44" s="5">
        <v>18.967852000000001</v>
      </c>
      <c r="E44" s="5">
        <v>264.27526899999998</v>
      </c>
      <c r="F44" s="5">
        <v>12.118122999999999</v>
      </c>
      <c r="G44" s="5">
        <v>10.48598</v>
      </c>
      <c r="H44" s="5">
        <v>16.602550999999998</v>
      </c>
      <c r="I44" s="5">
        <v>23.895028999999997</v>
      </c>
      <c r="J44" s="5">
        <v>16.055600999999999</v>
      </c>
      <c r="K44" s="5">
        <v>12.729495</v>
      </c>
      <c r="L44" s="5">
        <v>28.010614</v>
      </c>
      <c r="M44" s="5">
        <v>33.696823000000002</v>
      </c>
      <c r="N44" s="5">
        <v>13.472443</v>
      </c>
      <c r="O44" s="5">
        <v>5.6239460000000001</v>
      </c>
      <c r="P44" s="5">
        <v>0.316106</v>
      </c>
      <c r="Q44" s="5">
        <v>2.0819999999999999</v>
      </c>
      <c r="R44" s="5">
        <v>16.214872</v>
      </c>
      <c r="S44" s="5">
        <v>41.053363999999995</v>
      </c>
      <c r="T44" s="6">
        <v>990.30999755859375</v>
      </c>
    </row>
    <row r="45" spans="1:20">
      <c r="A45" s="37">
        <v>37834</v>
      </c>
      <c r="B45" s="5">
        <v>13.149298999999999</v>
      </c>
      <c r="C45" s="5">
        <v>23.43215</v>
      </c>
      <c r="D45" s="5">
        <v>18.704734999999999</v>
      </c>
      <c r="E45" s="5">
        <v>257.71606399999996</v>
      </c>
      <c r="F45" s="5">
        <v>12.854512999999999</v>
      </c>
      <c r="G45" s="5">
        <v>11.453063</v>
      </c>
      <c r="H45" s="5">
        <v>18.475974999999998</v>
      </c>
      <c r="I45" s="5">
        <v>23.859631999999998</v>
      </c>
      <c r="J45" s="5">
        <v>17.155079000000001</v>
      </c>
      <c r="K45" s="5">
        <v>11.416855</v>
      </c>
      <c r="L45" s="5">
        <v>28.637162999999997</v>
      </c>
      <c r="M45" s="5">
        <v>33.538154999999996</v>
      </c>
      <c r="N45" s="5">
        <v>13.368452999999999</v>
      </c>
      <c r="O45" s="5">
        <v>5.9555150000000001</v>
      </c>
      <c r="P45" s="5">
        <v>0.33904899999999999</v>
      </c>
      <c r="Q45" s="5">
        <v>2.3159999999999998</v>
      </c>
      <c r="R45" s="5">
        <v>16.282405999999998</v>
      </c>
      <c r="S45" s="5">
        <v>41.437335999999995</v>
      </c>
      <c r="T45" s="6">
        <v>1008.010009765625</v>
      </c>
    </row>
    <row r="46" spans="1:20">
      <c r="A46" s="37">
        <v>37865</v>
      </c>
      <c r="B46" s="5">
        <v>13.982438999999999</v>
      </c>
      <c r="C46" s="5">
        <v>23.074389</v>
      </c>
      <c r="D46" s="5">
        <v>18.764862000000001</v>
      </c>
      <c r="E46" s="5">
        <v>270.55725100000001</v>
      </c>
      <c r="F46" s="5">
        <v>13.303030999999999</v>
      </c>
      <c r="G46" s="5">
        <v>10.981321999999999</v>
      </c>
      <c r="H46" s="5">
        <v>17.429731</v>
      </c>
      <c r="I46" s="5">
        <v>25.371171999999998</v>
      </c>
      <c r="J46" s="5">
        <v>16.878677</v>
      </c>
      <c r="K46" s="5">
        <v>11.645531</v>
      </c>
      <c r="L46" s="5">
        <v>28.643516999999999</v>
      </c>
      <c r="M46" s="5">
        <v>32.945847000000001</v>
      </c>
      <c r="N46" s="5">
        <v>13.856370999999999</v>
      </c>
      <c r="O46" s="5">
        <v>5.9766319999999995</v>
      </c>
      <c r="P46" s="5">
        <v>0.31070700000000001</v>
      </c>
      <c r="Q46" s="5">
        <v>2.4215</v>
      </c>
      <c r="R46" s="5">
        <v>17.068283000000001</v>
      </c>
      <c r="S46" s="5">
        <v>44.720275999999998</v>
      </c>
      <c r="T46" s="6">
        <v>995.969970703125</v>
      </c>
    </row>
    <row r="47" spans="1:20">
      <c r="A47" s="37">
        <v>37895</v>
      </c>
      <c r="B47" s="5">
        <v>15.561105999999999</v>
      </c>
      <c r="C47" s="5">
        <v>22.619194</v>
      </c>
      <c r="D47" s="5">
        <v>19.623034000000001</v>
      </c>
      <c r="E47" s="5">
        <v>281.79348799999997</v>
      </c>
      <c r="F47" s="5">
        <v>14.436681</v>
      </c>
      <c r="G47" s="5">
        <v>12.499089</v>
      </c>
      <c r="H47" s="5">
        <v>19.901582999999999</v>
      </c>
      <c r="I47" s="5">
        <v>26.866347999999999</v>
      </c>
      <c r="J47" s="5">
        <v>19.062853</v>
      </c>
      <c r="K47" s="5">
        <v>12.113194</v>
      </c>
      <c r="L47" s="5">
        <v>29.832227999999997</v>
      </c>
      <c r="M47" s="5">
        <v>36.031196999999999</v>
      </c>
      <c r="N47" s="5">
        <v>15.153217</v>
      </c>
      <c r="O47" s="5">
        <v>7.1105799999999997</v>
      </c>
      <c r="P47" s="5">
        <v>0.343248</v>
      </c>
      <c r="Q47" s="5">
        <v>2.7214999999999998</v>
      </c>
      <c r="R47" s="5">
        <v>16.049094999999998</v>
      </c>
      <c r="S47" s="5">
        <v>45.302512999999998</v>
      </c>
      <c r="T47" s="6">
        <v>1050.7099609375</v>
      </c>
    </row>
    <row r="48" spans="1:20">
      <c r="A48" s="37">
        <v>37926</v>
      </c>
      <c r="B48" s="5">
        <v>16.057261999999998</v>
      </c>
      <c r="C48" s="5">
        <v>22.529592999999998</v>
      </c>
      <c r="D48" s="5">
        <v>19.537478999999998</v>
      </c>
      <c r="E48" s="5">
        <v>281.66513099999997</v>
      </c>
      <c r="F48" s="5">
        <v>15.890371999999999</v>
      </c>
      <c r="G48" s="5">
        <v>12.903896</v>
      </c>
      <c r="H48" s="5">
        <v>20.101842999999999</v>
      </c>
      <c r="I48" s="5">
        <v>26.431649999999998</v>
      </c>
      <c r="J48" s="5">
        <v>18.702631</v>
      </c>
      <c r="K48" s="5">
        <v>12.86835</v>
      </c>
      <c r="L48" s="5">
        <v>29.121350999999997</v>
      </c>
      <c r="M48" s="5">
        <v>34.795535999999998</v>
      </c>
      <c r="N48" s="5">
        <v>15.424963999999999</v>
      </c>
      <c r="O48" s="5">
        <v>6.7261099999999994</v>
      </c>
      <c r="P48" s="5">
        <v>0.31355699999999997</v>
      </c>
      <c r="Q48" s="5">
        <v>2.6984999999999997</v>
      </c>
      <c r="R48" s="5">
        <v>15.873647</v>
      </c>
      <c r="S48" s="5">
        <v>45.839160999999997</v>
      </c>
      <c r="T48" s="6">
        <v>1058.199951171875</v>
      </c>
    </row>
    <row r="49" spans="1:20">
      <c r="A49" s="37">
        <v>37956</v>
      </c>
      <c r="B49" s="5">
        <v>16.395546</v>
      </c>
      <c r="C49" s="5">
        <v>24.023004999999998</v>
      </c>
      <c r="D49" s="5">
        <v>20.271521</v>
      </c>
      <c r="E49" s="5">
        <v>290.70867899999996</v>
      </c>
      <c r="F49" s="5">
        <v>16.071332999999999</v>
      </c>
      <c r="G49" s="5">
        <v>12.388689999999999</v>
      </c>
      <c r="H49" s="5">
        <v>21.355950999999997</v>
      </c>
      <c r="I49" s="5">
        <v>27.431336999999999</v>
      </c>
      <c r="J49" s="5">
        <v>21.826564999999999</v>
      </c>
      <c r="K49" s="5">
        <v>13.607194999999999</v>
      </c>
      <c r="L49" s="5">
        <v>30.726783999999999</v>
      </c>
      <c r="M49" s="5">
        <v>36.343226999999999</v>
      </c>
      <c r="N49" s="5">
        <v>15.973118999999999</v>
      </c>
      <c r="O49" s="5">
        <v>7.1383479999999997</v>
      </c>
      <c r="P49" s="5">
        <v>0.32045399999999996</v>
      </c>
      <c r="Q49" s="5">
        <v>2.6309999999999998</v>
      </c>
      <c r="R49" s="5">
        <v>16.898555999999999</v>
      </c>
      <c r="S49" s="5">
        <v>47.007618000000001</v>
      </c>
      <c r="T49" s="6">
        <v>1111.920043945312</v>
      </c>
    </row>
    <row r="50" spans="1:20">
      <c r="A50" s="37">
        <v>37987</v>
      </c>
      <c r="B50" s="5">
        <v>16.562428999999998</v>
      </c>
      <c r="C50" s="5">
        <v>24.587401999999997</v>
      </c>
      <c r="D50" s="5">
        <v>21.463639999999998</v>
      </c>
      <c r="E50" s="5">
        <v>296.33850100000001</v>
      </c>
      <c r="F50" s="5">
        <v>16.915755999999998</v>
      </c>
      <c r="G50" s="5">
        <v>12.513975</v>
      </c>
      <c r="H50" s="5">
        <v>20.622153999999998</v>
      </c>
      <c r="I50" s="5">
        <v>27.760914</v>
      </c>
      <c r="J50" s="5">
        <v>21.832335999999998</v>
      </c>
      <c r="K50" s="5">
        <v>14.107882999999999</v>
      </c>
      <c r="L50" s="5">
        <v>33.094929</v>
      </c>
      <c r="M50" s="5">
        <v>36.959209000000001</v>
      </c>
      <c r="N50" s="5">
        <v>15.571681</v>
      </c>
      <c r="O50" s="5">
        <v>7.0595369999999997</v>
      </c>
      <c r="P50" s="5">
        <v>0.33829899999999996</v>
      </c>
      <c r="Q50" s="5">
        <v>2.52</v>
      </c>
      <c r="R50" s="5">
        <v>17.071424</v>
      </c>
      <c r="S50" s="5">
        <v>50.329795999999995</v>
      </c>
      <c r="T50" s="6">
        <v>1131.130004882812</v>
      </c>
    </row>
    <row r="51" spans="1:20">
      <c r="A51" s="37">
        <v>38018</v>
      </c>
      <c r="B51" s="5">
        <v>16.621064999999998</v>
      </c>
      <c r="C51" s="5">
        <v>24.726237999999999</v>
      </c>
      <c r="D51" s="5">
        <v>22.850707999999997</v>
      </c>
      <c r="E51" s="5">
        <v>303.475616</v>
      </c>
      <c r="F51" s="5">
        <v>15.853415</v>
      </c>
      <c r="G51" s="5">
        <v>13.802793999999999</v>
      </c>
      <c r="H51" s="5">
        <v>21.159120999999999</v>
      </c>
      <c r="I51" s="5">
        <v>28.284072999999999</v>
      </c>
      <c r="J51" s="5">
        <v>22.322243</v>
      </c>
      <c r="K51" s="5">
        <v>14.115589</v>
      </c>
      <c r="L51" s="5">
        <v>34.103595999999996</v>
      </c>
      <c r="M51" s="5">
        <v>34.708210000000001</v>
      </c>
      <c r="N51" s="5">
        <v>15.555408</v>
      </c>
      <c r="O51" s="5">
        <v>7.2429299999999994</v>
      </c>
      <c r="P51" s="5">
        <v>0.35869299999999998</v>
      </c>
      <c r="Q51" s="5">
        <v>2.1505000000000001</v>
      </c>
      <c r="R51" s="5">
        <v>16.379929999999998</v>
      </c>
      <c r="S51" s="5">
        <v>48.945152</v>
      </c>
      <c r="T51" s="6">
        <v>1144.93994140625</v>
      </c>
    </row>
    <row r="52" spans="1:20">
      <c r="A52" s="37">
        <v>38047</v>
      </c>
      <c r="B52" s="5">
        <v>16.738312000000001</v>
      </c>
      <c r="C52" s="5">
        <v>24.442512999999998</v>
      </c>
      <c r="D52" s="5">
        <v>23.368787999999999</v>
      </c>
      <c r="E52" s="5">
        <v>312.17037999999997</v>
      </c>
      <c r="F52" s="5">
        <v>16.255741</v>
      </c>
      <c r="G52" s="5">
        <v>14.245581</v>
      </c>
      <c r="H52" s="5">
        <v>22.832616999999999</v>
      </c>
      <c r="I52" s="5">
        <v>28.937984</v>
      </c>
      <c r="J52" s="5">
        <v>24.598841</v>
      </c>
      <c r="K52" s="5">
        <v>13.559947999999999</v>
      </c>
      <c r="L52" s="5">
        <v>33.101317999999999</v>
      </c>
      <c r="M52" s="5">
        <v>33.719383000000001</v>
      </c>
      <c r="N52" s="5">
        <v>15.491244999999999</v>
      </c>
      <c r="O52" s="5">
        <v>7.583825</v>
      </c>
      <c r="P52" s="5">
        <v>0.40547899999999998</v>
      </c>
      <c r="Q52" s="5">
        <v>2.1639999999999997</v>
      </c>
      <c r="R52" s="5">
        <v>15.392068</v>
      </c>
      <c r="S52" s="5">
        <v>46.657111999999998</v>
      </c>
      <c r="T52" s="6">
        <v>1126.2099609375</v>
      </c>
    </row>
    <row r="53" spans="1:20">
      <c r="A53" s="37">
        <v>38078</v>
      </c>
      <c r="B53" s="5">
        <v>16.942101999999998</v>
      </c>
      <c r="C53" s="5">
        <v>24.532512999999998</v>
      </c>
      <c r="D53" s="5">
        <v>20.945561999999999</v>
      </c>
      <c r="E53" s="5">
        <v>290.37301600000001</v>
      </c>
      <c r="F53" s="5">
        <v>14.796486</v>
      </c>
      <c r="G53" s="5">
        <v>12.946009999999999</v>
      </c>
      <c r="H53" s="5">
        <v>22.506595999999998</v>
      </c>
      <c r="I53" s="5">
        <v>29.189073999999998</v>
      </c>
      <c r="J53" s="5">
        <v>24.667052999999999</v>
      </c>
      <c r="K53" s="5">
        <v>13.834636</v>
      </c>
      <c r="L53" s="5">
        <v>31.310250999999997</v>
      </c>
      <c r="M53" s="5">
        <v>34.947635999999996</v>
      </c>
      <c r="N53" s="5">
        <v>15.433838</v>
      </c>
      <c r="O53" s="5">
        <v>7.0297299999999998</v>
      </c>
      <c r="P53" s="5">
        <v>0.38658399999999998</v>
      </c>
      <c r="Q53" s="5">
        <v>2.1799999999999997</v>
      </c>
      <c r="R53" s="5">
        <v>16.132959</v>
      </c>
      <c r="S53" s="5">
        <v>44.792640999999996</v>
      </c>
      <c r="T53" s="6">
        <v>1107.300048828125</v>
      </c>
    </row>
    <row r="54" spans="1:20">
      <c r="A54" s="37">
        <v>38108</v>
      </c>
      <c r="B54" s="5">
        <v>16.465056999999998</v>
      </c>
      <c r="C54" s="5">
        <v>25.337156</v>
      </c>
      <c r="D54" s="5">
        <v>20.688642999999999</v>
      </c>
      <c r="E54" s="5">
        <v>282.68450899999999</v>
      </c>
      <c r="F54" s="5">
        <v>15.306445</v>
      </c>
      <c r="G54" s="5">
        <v>12.605186999999999</v>
      </c>
      <c r="H54" s="5">
        <v>21.732561</v>
      </c>
      <c r="I54" s="5">
        <v>29.892064999999999</v>
      </c>
      <c r="J54" s="5">
        <v>25.270543999999997</v>
      </c>
      <c r="K54" s="5">
        <v>13.672141</v>
      </c>
      <c r="L54" s="5">
        <v>32.429606999999997</v>
      </c>
      <c r="M54" s="5">
        <v>35.573192999999996</v>
      </c>
      <c r="N54" s="5">
        <v>16.073499999999999</v>
      </c>
      <c r="O54" s="5">
        <v>7.3108279999999999</v>
      </c>
      <c r="P54" s="5">
        <v>0.42077399999999998</v>
      </c>
      <c r="Q54" s="5">
        <v>2.4249999999999998</v>
      </c>
      <c r="R54" s="5">
        <v>16.194706</v>
      </c>
      <c r="S54" s="5">
        <v>45.006003999999997</v>
      </c>
      <c r="T54" s="6">
        <v>1120.680053710938</v>
      </c>
    </row>
    <row r="55" spans="1:20">
      <c r="A55" s="37">
        <v>38139</v>
      </c>
      <c r="B55" s="5">
        <v>16.145478999999998</v>
      </c>
      <c r="C55" s="5">
        <v>25.791287999999998</v>
      </c>
      <c r="D55" s="5">
        <v>21.772496999999998</v>
      </c>
      <c r="E55" s="5">
        <v>283.11068699999998</v>
      </c>
      <c r="F55" s="5">
        <v>15.866892</v>
      </c>
      <c r="G55" s="5">
        <v>12.972424999999999</v>
      </c>
      <c r="H55" s="5">
        <v>23.201252</v>
      </c>
      <c r="I55" s="5">
        <v>30.185920999999997</v>
      </c>
      <c r="J55" s="5">
        <v>26.448452</v>
      </c>
      <c r="K55" s="5">
        <v>13.325139999999999</v>
      </c>
      <c r="L55" s="5">
        <v>32.864573999999998</v>
      </c>
      <c r="M55" s="5">
        <v>34.222381999999996</v>
      </c>
      <c r="N55" s="5">
        <v>15.768709999999999</v>
      </c>
      <c r="O55" s="5">
        <v>7.0122969999999993</v>
      </c>
      <c r="P55" s="5">
        <v>0.487954</v>
      </c>
      <c r="Q55" s="5">
        <v>2.7199999999999998</v>
      </c>
      <c r="R55" s="5">
        <v>17.633271999999998</v>
      </c>
      <c r="S55" s="5">
        <v>44.873259999999995</v>
      </c>
      <c r="T55" s="6">
        <v>1140.839965820312</v>
      </c>
    </row>
    <row r="56" spans="1:20">
      <c r="A56" s="37">
        <v>38169</v>
      </c>
      <c r="B56" s="5">
        <v>15.663796999999999</v>
      </c>
      <c r="C56" s="5">
        <v>26.162198999999998</v>
      </c>
      <c r="D56" s="5">
        <v>20.963813999999999</v>
      </c>
      <c r="E56" s="5">
        <v>268.4375</v>
      </c>
      <c r="F56" s="5">
        <v>16.509015999999999</v>
      </c>
      <c r="G56" s="5">
        <v>12.694946999999999</v>
      </c>
      <c r="H56" s="5">
        <v>20.860332</v>
      </c>
      <c r="I56" s="5">
        <v>28.916173999999998</v>
      </c>
      <c r="J56" s="5">
        <v>24.749437</v>
      </c>
      <c r="K56" s="5">
        <v>12.423319999999999</v>
      </c>
      <c r="L56" s="5">
        <v>32.204589999999996</v>
      </c>
      <c r="M56" s="5">
        <v>31.841877</v>
      </c>
      <c r="N56" s="5">
        <v>15.818296</v>
      </c>
      <c r="O56" s="5">
        <v>7.3409359999999992</v>
      </c>
      <c r="P56" s="5">
        <v>0.48495499999999997</v>
      </c>
      <c r="Q56" s="5">
        <v>1.946</v>
      </c>
      <c r="R56" s="5">
        <v>17.590059</v>
      </c>
      <c r="S56" s="5">
        <v>44.323493999999997</v>
      </c>
      <c r="T56" s="6">
        <v>1101.719970703125</v>
      </c>
    </row>
    <row r="57" spans="1:20">
      <c r="A57" s="37">
        <v>38200</v>
      </c>
      <c r="B57" s="5">
        <v>17.312621999999998</v>
      </c>
      <c r="C57" s="5">
        <v>27.685590999999999</v>
      </c>
      <c r="D57" s="5">
        <v>22.424028</v>
      </c>
      <c r="E57" s="5">
        <v>286.19293199999998</v>
      </c>
      <c r="F57" s="5">
        <v>16.366319999999998</v>
      </c>
      <c r="G57" s="5">
        <v>11.497506</v>
      </c>
      <c r="H57" s="5">
        <v>21.013089999999998</v>
      </c>
      <c r="I57" s="5">
        <v>31.177301</v>
      </c>
      <c r="J57" s="5">
        <v>25.251431999999998</v>
      </c>
      <c r="K57" s="5">
        <v>12.699311</v>
      </c>
      <c r="L57" s="5">
        <v>32.057204999999996</v>
      </c>
      <c r="M57" s="5">
        <v>31.091766</v>
      </c>
      <c r="N57" s="5">
        <v>16.187517</v>
      </c>
      <c r="O57" s="5">
        <v>7.6579999999999995</v>
      </c>
      <c r="P57" s="5">
        <v>0.51719599999999999</v>
      </c>
      <c r="Q57" s="5">
        <v>1.9069999999999998</v>
      </c>
      <c r="R57" s="5">
        <v>16.855332999999998</v>
      </c>
      <c r="S57" s="5">
        <v>43.11195</v>
      </c>
      <c r="T57" s="6">
        <v>1104.239990234375</v>
      </c>
    </row>
    <row r="58" spans="1:20">
      <c r="A58" s="37">
        <v>38231</v>
      </c>
      <c r="B58" s="5">
        <v>18.203142</v>
      </c>
      <c r="C58" s="5">
        <v>26.669995999999998</v>
      </c>
      <c r="D58" s="5">
        <v>22.509007999999998</v>
      </c>
      <c r="E58" s="5">
        <v>271.078461</v>
      </c>
      <c r="F58" s="5">
        <v>17.471612999999998</v>
      </c>
      <c r="G58" s="5">
        <v>12.035292999999999</v>
      </c>
      <c r="H58" s="5">
        <v>21.438209999999998</v>
      </c>
      <c r="I58" s="5">
        <v>30.146787999999997</v>
      </c>
      <c r="J58" s="5">
        <v>24.825308</v>
      </c>
      <c r="K58" s="5">
        <v>11.959247999999999</v>
      </c>
      <c r="L58" s="5">
        <v>32.980060999999999</v>
      </c>
      <c r="M58" s="5">
        <v>30.041938999999999</v>
      </c>
      <c r="N58" s="5">
        <v>16.568349999999999</v>
      </c>
      <c r="O58" s="5">
        <v>7.9904769999999994</v>
      </c>
      <c r="P58" s="5">
        <v>0.58107599999999993</v>
      </c>
      <c r="Q58" s="5">
        <v>2.0429999999999997</v>
      </c>
      <c r="R58" s="5">
        <v>17.121783999999998</v>
      </c>
      <c r="S58" s="5">
        <v>43.738869000000001</v>
      </c>
      <c r="T58" s="6">
        <v>1114.579956054688</v>
      </c>
    </row>
    <row r="59" spans="1:20">
      <c r="A59" s="37">
        <v>38261</v>
      </c>
      <c r="B59" s="5">
        <v>18.565417999999998</v>
      </c>
      <c r="C59" s="5">
        <v>27.847239999999999</v>
      </c>
      <c r="D59" s="5">
        <v>21.868810999999997</v>
      </c>
      <c r="E59" s="5">
        <v>272.614532</v>
      </c>
      <c r="F59" s="5">
        <v>18.916245</v>
      </c>
      <c r="G59" s="5">
        <v>13.405434999999999</v>
      </c>
      <c r="H59" s="5">
        <v>19.944513000000001</v>
      </c>
      <c r="I59" s="5">
        <v>28.509093999999997</v>
      </c>
      <c r="J59" s="5">
        <v>26.156212</v>
      </c>
      <c r="K59" s="5">
        <v>11.31439</v>
      </c>
      <c r="L59" s="5">
        <v>34.011905999999996</v>
      </c>
      <c r="M59" s="5">
        <v>30.771861999999999</v>
      </c>
      <c r="N59" s="5">
        <v>16.593347999999999</v>
      </c>
      <c r="O59" s="5">
        <v>8.9368879999999997</v>
      </c>
      <c r="P59" s="5">
        <v>0.78576499999999994</v>
      </c>
      <c r="Q59" s="5">
        <v>1.7064999999999999</v>
      </c>
      <c r="R59" s="5">
        <v>17.319948</v>
      </c>
      <c r="S59" s="5">
        <v>45.784484999999997</v>
      </c>
      <c r="T59" s="6">
        <v>1130.199951171875</v>
      </c>
    </row>
    <row r="60" spans="1:20">
      <c r="A60" s="37">
        <v>38292</v>
      </c>
      <c r="B60" s="5">
        <v>19.581678</v>
      </c>
      <c r="C60" s="5">
        <v>28.767408</v>
      </c>
      <c r="D60" s="5">
        <v>21.511897999999999</v>
      </c>
      <c r="E60" s="5">
        <v>277.47460899999999</v>
      </c>
      <c r="F60" s="5">
        <v>18.548078999999998</v>
      </c>
      <c r="G60" s="5">
        <v>14.561313</v>
      </c>
      <c r="H60" s="5">
        <v>23.931417</v>
      </c>
      <c r="I60" s="5">
        <v>29.931483999999998</v>
      </c>
      <c r="J60" s="5">
        <v>27.472237</v>
      </c>
      <c r="K60" s="5">
        <v>10.853218999999999</v>
      </c>
      <c r="L60" s="5">
        <v>35.785224999999997</v>
      </c>
      <c r="M60" s="5">
        <v>31.501794999999998</v>
      </c>
      <c r="N60" s="5">
        <v>17.162946999999999</v>
      </c>
      <c r="O60" s="5">
        <v>8.943560999999999</v>
      </c>
      <c r="P60" s="5">
        <v>1.00545</v>
      </c>
      <c r="Q60" s="5">
        <v>1.984</v>
      </c>
      <c r="R60" s="5">
        <v>16.601633</v>
      </c>
      <c r="S60" s="5">
        <v>48.075007999999997</v>
      </c>
      <c r="T60" s="6">
        <v>1173.819946289062</v>
      </c>
    </row>
    <row r="61" spans="1:20">
      <c r="A61" s="37">
        <v>38322</v>
      </c>
      <c r="B61" s="5">
        <v>21.491855999999999</v>
      </c>
      <c r="C61" s="5">
        <v>29.215032999999998</v>
      </c>
      <c r="D61" s="5">
        <v>22.288947999999998</v>
      </c>
      <c r="E61" s="5">
        <v>298.74249299999997</v>
      </c>
      <c r="F61" s="5">
        <v>19.446794999999998</v>
      </c>
      <c r="G61" s="5">
        <v>15.355801999999999</v>
      </c>
      <c r="H61" s="5">
        <v>24.822219999999998</v>
      </c>
      <c r="I61" s="5">
        <v>30.826943999999997</v>
      </c>
      <c r="J61" s="5">
        <v>28.954896999999999</v>
      </c>
      <c r="K61" s="5">
        <v>10.572552999999999</v>
      </c>
      <c r="L61" s="5">
        <v>36.209178999999999</v>
      </c>
      <c r="M61" s="5">
        <v>31.467048999999999</v>
      </c>
      <c r="N61" s="5">
        <v>17.408265999999998</v>
      </c>
      <c r="O61" s="5">
        <v>9.2705179999999991</v>
      </c>
      <c r="P61" s="5">
        <v>0.9657119999999999</v>
      </c>
      <c r="Q61" s="5">
        <v>2.2144999999999997</v>
      </c>
      <c r="R61" s="5">
        <v>18.441081999999998</v>
      </c>
      <c r="S61" s="5">
        <v>50.386210999999996</v>
      </c>
      <c r="T61" s="6">
        <v>1211.920043945312</v>
      </c>
    </row>
    <row r="62" spans="1:20">
      <c r="A62" s="37">
        <v>38353</v>
      </c>
      <c r="B62" s="5">
        <v>20.772005</v>
      </c>
      <c r="C62" s="5">
        <v>29.112703</v>
      </c>
      <c r="D62" s="5">
        <v>21.329059999999998</v>
      </c>
      <c r="E62" s="5">
        <v>304.136932</v>
      </c>
      <c r="F62" s="5">
        <v>17.984462999999998</v>
      </c>
      <c r="G62" s="5">
        <v>15.129353999999999</v>
      </c>
      <c r="H62" s="5">
        <v>23.251541</v>
      </c>
      <c r="I62" s="5">
        <v>29.791560999999998</v>
      </c>
      <c r="J62" s="5">
        <v>28.109715999999999</v>
      </c>
      <c r="K62" s="5">
        <v>9.4991830000000004</v>
      </c>
      <c r="L62" s="5">
        <v>34.269286999999998</v>
      </c>
      <c r="M62" s="5">
        <v>29.986234999999997</v>
      </c>
      <c r="N62" s="5">
        <v>17.170175999999998</v>
      </c>
      <c r="O62" s="5">
        <v>8.7345449999999989</v>
      </c>
      <c r="P62" s="5">
        <v>1.1531549999999999</v>
      </c>
      <c r="Q62" s="5">
        <v>2.161</v>
      </c>
      <c r="R62" s="5">
        <v>18.137402999999999</v>
      </c>
      <c r="S62" s="5">
        <v>47.748816999999995</v>
      </c>
      <c r="T62" s="6">
        <v>1181.27001953125</v>
      </c>
    </row>
    <row r="63" spans="1:20">
      <c r="A63" s="37">
        <v>38384</v>
      </c>
      <c r="B63" s="5">
        <v>20.677911999999999</v>
      </c>
      <c r="C63" s="5">
        <v>29.288495999999999</v>
      </c>
      <c r="D63" s="5">
        <v>21.066347</v>
      </c>
      <c r="E63" s="5">
        <v>295.89031999999997</v>
      </c>
      <c r="F63" s="5">
        <v>17.956173</v>
      </c>
      <c r="G63" s="5">
        <v>15.036128999999999</v>
      </c>
      <c r="H63" s="5">
        <v>23.814160999999999</v>
      </c>
      <c r="I63" s="5">
        <v>29.846467999999998</v>
      </c>
      <c r="J63" s="5">
        <v>27.335456999999998</v>
      </c>
      <c r="K63" s="5">
        <v>10.336646999999999</v>
      </c>
      <c r="L63" s="5">
        <v>34.859145999999996</v>
      </c>
      <c r="M63" s="5">
        <v>28.274077999999999</v>
      </c>
      <c r="N63" s="5">
        <v>16.632379999999998</v>
      </c>
      <c r="O63" s="5">
        <v>9.1878799999999998</v>
      </c>
      <c r="P63" s="5">
        <v>1.3453979999999999</v>
      </c>
      <c r="Q63" s="5">
        <v>1.7589999999999999</v>
      </c>
      <c r="R63" s="5">
        <v>17.364436999999999</v>
      </c>
      <c r="S63" s="5">
        <v>47.319488999999997</v>
      </c>
      <c r="T63" s="6">
        <v>1203.599975585938</v>
      </c>
    </row>
    <row r="64" spans="1:20">
      <c r="A64" s="37">
        <v>38412</v>
      </c>
      <c r="B64" s="5">
        <v>20.007254</v>
      </c>
      <c r="C64" s="5">
        <v>27.687505999999999</v>
      </c>
      <c r="D64" s="5">
        <v>19.942422999999998</v>
      </c>
      <c r="E64" s="5">
        <v>281.14263899999997</v>
      </c>
      <c r="F64" s="5">
        <v>18.902338</v>
      </c>
      <c r="G64" s="5">
        <v>16.951266999999998</v>
      </c>
      <c r="H64" s="5">
        <v>22.481289</v>
      </c>
      <c r="I64" s="5">
        <v>29.795876999999997</v>
      </c>
      <c r="J64" s="5">
        <v>26.756240999999999</v>
      </c>
      <c r="K64" s="5">
        <v>10.406170999999999</v>
      </c>
      <c r="L64" s="5">
        <v>33.069514999999996</v>
      </c>
      <c r="M64" s="5">
        <v>28.329926999999998</v>
      </c>
      <c r="N64" s="5">
        <v>16.881143999999999</v>
      </c>
      <c r="O64" s="5">
        <v>9.2798939999999988</v>
      </c>
      <c r="P64" s="5">
        <v>1.249727</v>
      </c>
      <c r="Q64" s="5">
        <v>1.7135</v>
      </c>
      <c r="R64" s="5">
        <v>16.732644999999998</v>
      </c>
      <c r="S64" s="5">
        <v>46.795254</v>
      </c>
      <c r="T64" s="6">
        <v>1180.589965820312</v>
      </c>
    </row>
    <row r="65" spans="1:20">
      <c r="A65" s="37">
        <v>38443</v>
      </c>
      <c r="B65" s="5">
        <v>20.03623</v>
      </c>
      <c r="C65" s="5">
        <v>28.550563999999998</v>
      </c>
      <c r="D65" s="5">
        <v>20.455393000000001</v>
      </c>
      <c r="E65" s="5">
        <v>293.77975499999997</v>
      </c>
      <c r="F65" s="5">
        <v>18.336324999999999</v>
      </c>
      <c r="G65" s="5">
        <v>15.348884</v>
      </c>
      <c r="H65" s="5">
        <v>21.039932</v>
      </c>
      <c r="I65" s="5">
        <v>30.442380999999997</v>
      </c>
      <c r="J65" s="5">
        <v>25.583731</v>
      </c>
      <c r="K65" s="5">
        <v>10.76268</v>
      </c>
      <c r="L65" s="5">
        <v>34.005835999999995</v>
      </c>
      <c r="M65" s="5">
        <v>25.836154999999998</v>
      </c>
      <c r="N65" s="5">
        <v>16.920663999999999</v>
      </c>
      <c r="O65" s="5">
        <v>9.0619549999999993</v>
      </c>
      <c r="P65" s="5">
        <v>1.0814759999999999</v>
      </c>
      <c r="Q65" s="5">
        <v>1.6179999999999999</v>
      </c>
      <c r="R65" s="5">
        <v>17.514924999999998</v>
      </c>
      <c r="S65" s="5">
        <v>39.113833999999997</v>
      </c>
      <c r="T65" s="6">
        <v>1156.849975585938</v>
      </c>
    </row>
    <row r="66" spans="1:20">
      <c r="A66" s="37">
        <v>38473</v>
      </c>
      <c r="B66" s="5">
        <v>18.481611000000001</v>
      </c>
      <c r="C66" s="5">
        <v>29.361968999999998</v>
      </c>
      <c r="D66" s="5">
        <v>20.81185</v>
      </c>
      <c r="E66" s="5">
        <v>297.50027499999999</v>
      </c>
      <c r="F66" s="5">
        <v>18.026861</v>
      </c>
      <c r="G66" s="5">
        <v>18.004908</v>
      </c>
      <c r="H66" s="5">
        <v>22.254428999999998</v>
      </c>
      <c r="I66" s="5">
        <v>31.165175999999999</v>
      </c>
      <c r="J66" s="5">
        <v>26.523125</v>
      </c>
      <c r="K66" s="5">
        <v>11.051853999999999</v>
      </c>
      <c r="L66" s="5">
        <v>34.747912999999997</v>
      </c>
      <c r="M66" s="5">
        <v>24.294971</v>
      </c>
      <c r="N66" s="5">
        <v>17.053342999999998</v>
      </c>
      <c r="O66" s="5">
        <v>9.6375329999999995</v>
      </c>
      <c r="P66" s="5">
        <v>1.1924439999999998</v>
      </c>
      <c r="Q66" s="5">
        <v>1.7754999999999999</v>
      </c>
      <c r="R66" s="5">
        <v>17.861070999999999</v>
      </c>
      <c r="S66" s="5">
        <v>38.688769999999998</v>
      </c>
      <c r="T66" s="6">
        <v>1191.5</v>
      </c>
    </row>
    <row r="67" spans="1:20">
      <c r="A67" s="37">
        <v>38504</v>
      </c>
      <c r="B67" s="5">
        <v>19.283064</v>
      </c>
      <c r="C67" s="5">
        <v>28.911906999999999</v>
      </c>
      <c r="D67" s="5">
        <v>20.561526999999998</v>
      </c>
      <c r="E67" s="5">
        <v>291.943085</v>
      </c>
      <c r="F67" s="5">
        <v>19.141061999999998</v>
      </c>
      <c r="G67" s="5">
        <v>19.561154999999999</v>
      </c>
      <c r="H67" s="5">
        <v>22.032380999999997</v>
      </c>
      <c r="I67" s="5">
        <v>29.808955999999998</v>
      </c>
      <c r="J67" s="5">
        <v>27.076072999999997</v>
      </c>
      <c r="K67" s="5">
        <v>11.000655999999999</v>
      </c>
      <c r="L67" s="5">
        <v>34.347828</v>
      </c>
      <c r="M67" s="5">
        <v>24.251056999999999</v>
      </c>
      <c r="N67" s="5">
        <v>17.523132</v>
      </c>
      <c r="O67" s="5">
        <v>10.108872</v>
      </c>
      <c r="P67" s="5">
        <v>1.103971</v>
      </c>
      <c r="Q67" s="5">
        <v>1.6544999999999999</v>
      </c>
      <c r="R67" s="5">
        <v>17.251021999999999</v>
      </c>
      <c r="S67" s="5">
        <v>38.098380999999996</v>
      </c>
      <c r="T67" s="6">
        <v>1191.329956054688</v>
      </c>
    </row>
    <row r="68" spans="1:20">
      <c r="A68" s="37">
        <v>38534</v>
      </c>
      <c r="B68" s="5">
        <v>19.075450999999997</v>
      </c>
      <c r="C68" s="5">
        <v>27.908901</v>
      </c>
      <c r="D68" s="5">
        <v>20.456740999999997</v>
      </c>
      <c r="E68" s="5">
        <v>274.703033</v>
      </c>
      <c r="F68" s="5">
        <v>20.519154</v>
      </c>
      <c r="G68" s="5">
        <v>20.291121</v>
      </c>
      <c r="H68" s="5">
        <v>24.855105999999999</v>
      </c>
      <c r="I68" s="5">
        <v>31.436439999999997</v>
      </c>
      <c r="J68" s="5">
        <v>29.274156999999999</v>
      </c>
      <c r="K68" s="5">
        <v>10.569882</v>
      </c>
      <c r="L68" s="5">
        <v>35.569012000000001</v>
      </c>
      <c r="M68" s="5">
        <v>24.53912</v>
      </c>
      <c r="N68" s="5">
        <v>17.454841999999999</v>
      </c>
      <c r="O68" s="5">
        <v>10.437042999999999</v>
      </c>
      <c r="P68" s="5">
        <v>1.279118</v>
      </c>
      <c r="Q68" s="5">
        <v>2.2574999999999998</v>
      </c>
      <c r="R68" s="5">
        <v>17.785778000000001</v>
      </c>
      <c r="S68" s="5">
        <v>42.852969999999999</v>
      </c>
      <c r="T68" s="6">
        <v>1234.180053710938</v>
      </c>
    </row>
    <row r="69" spans="1:20">
      <c r="A69" s="37">
        <v>38565</v>
      </c>
      <c r="B69" s="5">
        <v>19.456858</v>
      </c>
      <c r="C69" s="5">
        <v>27.544044</v>
      </c>
      <c r="D69" s="5">
        <v>19.920811</v>
      </c>
      <c r="E69" s="5">
        <v>279.17541499999999</v>
      </c>
      <c r="F69" s="5">
        <v>20.066649999999999</v>
      </c>
      <c r="G69" s="5">
        <v>18.448419999999999</v>
      </c>
      <c r="H69" s="5">
        <v>22.100194999999999</v>
      </c>
      <c r="I69" s="5">
        <v>31.512456999999998</v>
      </c>
      <c r="J69" s="5">
        <v>27.371610999999998</v>
      </c>
      <c r="K69" s="5">
        <v>10.163046999999999</v>
      </c>
      <c r="L69" s="5">
        <v>35.724219999999995</v>
      </c>
      <c r="M69" s="5">
        <v>24.858304999999998</v>
      </c>
      <c r="N69" s="5">
        <v>16.965396999999999</v>
      </c>
      <c r="O69" s="5">
        <v>10.774975</v>
      </c>
      <c r="P69" s="5">
        <v>1.40628</v>
      </c>
      <c r="Q69" s="5">
        <v>2.1349999999999998</v>
      </c>
      <c r="R69" s="5">
        <v>19.015008999999999</v>
      </c>
      <c r="S69" s="5">
        <v>41.394763999999995</v>
      </c>
      <c r="T69" s="6">
        <v>1220.329956054688</v>
      </c>
    </row>
    <row r="70" spans="1:20">
      <c r="A70" s="37">
        <v>38596</v>
      </c>
      <c r="B70" s="5">
        <v>20.003356999999998</v>
      </c>
      <c r="C70" s="5">
        <v>27.265025999999999</v>
      </c>
      <c r="D70" s="5">
        <v>19.944323000000001</v>
      </c>
      <c r="E70" s="5">
        <v>290.33724999999998</v>
      </c>
      <c r="F70" s="5">
        <v>20.672378999999999</v>
      </c>
      <c r="G70" s="5">
        <v>17.947610999999998</v>
      </c>
      <c r="H70" s="5">
        <v>20.687241</v>
      </c>
      <c r="I70" s="5">
        <v>33.773063999999998</v>
      </c>
      <c r="J70" s="5">
        <v>27.928014999999998</v>
      </c>
      <c r="K70" s="5">
        <v>10.031003999999999</v>
      </c>
      <c r="L70" s="5">
        <v>37.146965000000002</v>
      </c>
      <c r="M70" s="5">
        <v>23.280825</v>
      </c>
      <c r="N70" s="5">
        <v>16.808225999999998</v>
      </c>
      <c r="O70" s="5">
        <v>11.261322999999999</v>
      </c>
      <c r="P70" s="5">
        <v>1.60782</v>
      </c>
      <c r="Q70" s="5">
        <v>2.2649999999999997</v>
      </c>
      <c r="R70" s="5">
        <v>17.922122999999999</v>
      </c>
      <c r="S70" s="5">
        <v>41.288429000000001</v>
      </c>
      <c r="T70" s="6">
        <v>1228.81005859375</v>
      </c>
    </row>
    <row r="71" spans="1:20">
      <c r="A71" s="37">
        <v>38626</v>
      </c>
      <c r="B71" s="5">
        <v>19.434346999999999</v>
      </c>
      <c r="C71" s="5">
        <v>28.327140999999997</v>
      </c>
      <c r="D71" s="5">
        <v>21.525531999999998</v>
      </c>
      <c r="E71" s="5">
        <v>291.99551400000001</v>
      </c>
      <c r="F71" s="5">
        <v>20.348596999999998</v>
      </c>
      <c r="G71" s="5">
        <v>16.471429999999998</v>
      </c>
      <c r="H71" s="5">
        <v>20.614843</v>
      </c>
      <c r="I71" s="5">
        <v>31.802123999999999</v>
      </c>
      <c r="J71" s="5">
        <v>28.858113999999997</v>
      </c>
      <c r="K71" s="5">
        <v>8.7334399999999999</v>
      </c>
      <c r="L71" s="5">
        <v>36.772205</v>
      </c>
      <c r="M71" s="5">
        <v>21.316621999999999</v>
      </c>
      <c r="N71" s="5">
        <v>17.275990999999998</v>
      </c>
      <c r="O71" s="5">
        <v>10.898520999999999</v>
      </c>
      <c r="P71" s="5">
        <v>1.727185</v>
      </c>
      <c r="Q71" s="5">
        <v>1.9929999999999999</v>
      </c>
      <c r="R71" s="5">
        <v>17.901228</v>
      </c>
      <c r="S71" s="5">
        <v>42.142817999999998</v>
      </c>
      <c r="T71" s="6">
        <v>1207.010009765625</v>
      </c>
    </row>
    <row r="72" spans="1:20">
      <c r="A72" s="37">
        <v>38657</v>
      </c>
      <c r="B72" s="5">
        <v>19.998449000000001</v>
      </c>
      <c r="C72" s="5">
        <v>29.719524</v>
      </c>
      <c r="D72" s="5">
        <v>22.709969999999998</v>
      </c>
      <c r="E72" s="5">
        <v>309.663208</v>
      </c>
      <c r="F72" s="5">
        <v>22.291305999999999</v>
      </c>
      <c r="G72" s="5">
        <v>17.292718999999998</v>
      </c>
      <c r="H72" s="5">
        <v>23.560302999999998</v>
      </c>
      <c r="I72" s="5">
        <v>32.648865000000001</v>
      </c>
      <c r="J72" s="5">
        <v>28.900266999999999</v>
      </c>
      <c r="K72" s="5">
        <v>8.516513999999999</v>
      </c>
      <c r="L72" s="5">
        <v>38.082831999999996</v>
      </c>
      <c r="M72" s="5">
        <v>21.520091999999998</v>
      </c>
      <c r="N72" s="5">
        <v>18.036480000000001</v>
      </c>
      <c r="O72" s="5">
        <v>11.942062999999999</v>
      </c>
      <c r="P72" s="5">
        <v>2.0339929999999997</v>
      </c>
      <c r="Q72" s="5">
        <v>2.423</v>
      </c>
      <c r="R72" s="5">
        <v>19.280386</v>
      </c>
      <c r="S72" s="5">
        <v>45.755935999999998</v>
      </c>
      <c r="T72" s="6">
        <v>1249.47998046875</v>
      </c>
    </row>
    <row r="73" spans="1:20">
      <c r="A73" s="37">
        <v>38687</v>
      </c>
      <c r="B73" s="5">
        <v>20.641019999999997</v>
      </c>
      <c r="C73" s="5">
        <v>30.210826999999998</v>
      </c>
      <c r="D73" s="5">
        <v>23.564916999999998</v>
      </c>
      <c r="E73" s="5">
        <v>312.55490099999997</v>
      </c>
      <c r="F73" s="5">
        <v>23.418759999999999</v>
      </c>
      <c r="G73" s="5">
        <v>17.802669999999999</v>
      </c>
      <c r="H73" s="5">
        <v>23.139046</v>
      </c>
      <c r="I73" s="5">
        <v>33.042781999999995</v>
      </c>
      <c r="J73" s="5">
        <v>28.924344999999999</v>
      </c>
      <c r="K73" s="5">
        <v>9.4487740000000002</v>
      </c>
      <c r="L73" s="5">
        <v>38.112456999999999</v>
      </c>
      <c r="M73" s="5">
        <v>20.821334999999998</v>
      </c>
      <c r="N73" s="5">
        <v>18.188672999999998</v>
      </c>
      <c r="O73" s="5">
        <v>12.140179999999999</v>
      </c>
      <c r="P73" s="5">
        <v>2.1560570000000001</v>
      </c>
      <c r="Q73" s="5">
        <v>2.3574999999999999</v>
      </c>
      <c r="R73" s="5">
        <v>18.268060999999999</v>
      </c>
      <c r="S73" s="5">
        <v>42.408977999999998</v>
      </c>
      <c r="T73" s="6">
        <v>1248.2900390625</v>
      </c>
    </row>
    <row r="74" spans="1:20">
      <c r="A74" s="37">
        <v>38718</v>
      </c>
      <c r="B74" s="5">
        <v>20.959864</v>
      </c>
      <c r="C74" s="5">
        <v>28.953944999999997</v>
      </c>
      <c r="D74" s="5">
        <v>23.600552</v>
      </c>
      <c r="E74" s="5">
        <v>299.99612400000001</v>
      </c>
      <c r="F74" s="5">
        <v>24.992832</v>
      </c>
      <c r="G74" s="5">
        <v>17.949225999999999</v>
      </c>
      <c r="H74" s="5">
        <v>24.517648999999999</v>
      </c>
      <c r="I74" s="5">
        <v>33.813488</v>
      </c>
      <c r="J74" s="5">
        <v>29.705283999999999</v>
      </c>
      <c r="K74" s="5">
        <v>10.404995999999999</v>
      </c>
      <c r="L74" s="5">
        <v>38.845672999999998</v>
      </c>
      <c r="M74" s="5">
        <v>22.277645</v>
      </c>
      <c r="N74" s="5">
        <v>18.052609999999998</v>
      </c>
      <c r="O74" s="5">
        <v>12.327843999999999</v>
      </c>
      <c r="P74" s="5">
        <v>2.2646250000000001</v>
      </c>
      <c r="Q74" s="5">
        <v>2.2410000000000001</v>
      </c>
      <c r="R74" s="5">
        <v>19.665240999999998</v>
      </c>
      <c r="S74" s="5">
        <v>41.944629999999997</v>
      </c>
      <c r="T74" s="6">
        <v>1280.079956054688</v>
      </c>
    </row>
    <row r="75" spans="1:20">
      <c r="A75" s="37">
        <v>38749</v>
      </c>
      <c r="B75" s="5">
        <v>22.99061</v>
      </c>
      <c r="C75" s="5">
        <v>30.014426999999998</v>
      </c>
      <c r="D75" s="5">
        <v>24.634219999999999</v>
      </c>
      <c r="E75" s="5">
        <v>298.64352400000001</v>
      </c>
      <c r="F75" s="5">
        <v>25.424029999999998</v>
      </c>
      <c r="G75" s="5">
        <v>19.137221999999998</v>
      </c>
      <c r="H75" s="5">
        <v>26.05855</v>
      </c>
      <c r="I75" s="5">
        <v>34.377234999999999</v>
      </c>
      <c r="J75" s="5">
        <v>30.371587999999999</v>
      </c>
      <c r="K75" s="5">
        <v>10.611637</v>
      </c>
      <c r="L75" s="5">
        <v>39.996058999999995</v>
      </c>
      <c r="M75" s="5">
        <v>22.214673999999999</v>
      </c>
      <c r="N75" s="5">
        <v>18.585272</v>
      </c>
      <c r="O75" s="5">
        <v>13.325391999999999</v>
      </c>
      <c r="P75" s="5">
        <v>2.0540859999999999</v>
      </c>
      <c r="Q75" s="5">
        <v>1.8719999999999999</v>
      </c>
      <c r="R75" s="5">
        <v>18.771038000000001</v>
      </c>
      <c r="S75" s="5">
        <v>41.397751</v>
      </c>
      <c r="T75" s="6">
        <v>1280.660034179688</v>
      </c>
    </row>
    <row r="76" spans="1:20">
      <c r="A76" s="37">
        <v>38777</v>
      </c>
      <c r="B76" s="5">
        <v>22.95627</v>
      </c>
      <c r="C76" s="5">
        <v>29.811511999999997</v>
      </c>
      <c r="D76" s="5">
        <v>24.933616999999998</v>
      </c>
      <c r="E76" s="5">
        <v>307.433899</v>
      </c>
      <c r="F76" s="5">
        <v>23.958102999999998</v>
      </c>
      <c r="G76" s="5">
        <v>19.665227999999999</v>
      </c>
      <c r="H76" s="5">
        <v>27.008367999999997</v>
      </c>
      <c r="I76" s="5">
        <v>33.057887999999998</v>
      </c>
      <c r="J76" s="5">
        <v>30.686582999999999</v>
      </c>
      <c r="K76" s="5">
        <v>10.194227</v>
      </c>
      <c r="L76" s="5">
        <v>39.008766000000001</v>
      </c>
      <c r="M76" s="5">
        <v>20.039294999999999</v>
      </c>
      <c r="N76" s="5">
        <v>18.645209999999999</v>
      </c>
      <c r="O76" s="5">
        <v>12.921735999999999</v>
      </c>
      <c r="P76" s="5">
        <v>1.8810389999999999</v>
      </c>
      <c r="Q76" s="5">
        <v>1.8265</v>
      </c>
      <c r="R76" s="5">
        <v>19.072976999999998</v>
      </c>
      <c r="S76" s="5">
        <v>42.655108999999996</v>
      </c>
      <c r="T76" s="6">
        <v>1294.869995117188</v>
      </c>
    </row>
    <row r="77" spans="1:20">
      <c r="A77" s="37">
        <v>38808</v>
      </c>
      <c r="B77" s="5">
        <v>25.102536999999998</v>
      </c>
      <c r="C77" s="5">
        <v>33.039042999999999</v>
      </c>
      <c r="D77" s="5">
        <v>27.173093999999999</v>
      </c>
      <c r="E77" s="5">
        <v>325.13909899999999</v>
      </c>
      <c r="F77" s="5">
        <v>24.455658</v>
      </c>
      <c r="G77" s="5">
        <v>21.044934999999999</v>
      </c>
      <c r="H77" s="5">
        <v>30.140048999999998</v>
      </c>
      <c r="I77" s="5">
        <v>33.390591000000001</v>
      </c>
      <c r="J77" s="5">
        <v>31.829694999999997</v>
      </c>
      <c r="K77" s="5">
        <v>10.361953</v>
      </c>
      <c r="L77" s="5">
        <v>39.944091999999998</v>
      </c>
      <c r="M77" s="5">
        <v>19.627580999999999</v>
      </c>
      <c r="N77" s="5">
        <v>20.052295999999998</v>
      </c>
      <c r="O77" s="5">
        <v>13.050034999999999</v>
      </c>
      <c r="P77" s="5">
        <v>2.1110699999999998</v>
      </c>
      <c r="Q77" s="5">
        <v>1.7605</v>
      </c>
      <c r="R77" s="5">
        <v>16.928055000000001</v>
      </c>
      <c r="S77" s="5">
        <v>42.587855999999995</v>
      </c>
      <c r="T77" s="6">
        <v>1310.609985351562</v>
      </c>
    </row>
    <row r="78" spans="1:20">
      <c r="A78" s="37">
        <v>38838</v>
      </c>
      <c r="B78" s="5">
        <v>23.34008</v>
      </c>
      <c r="C78" s="5">
        <v>32.033042999999999</v>
      </c>
      <c r="D78" s="5">
        <v>25.741137999999999</v>
      </c>
      <c r="E78" s="5">
        <v>324.23535199999998</v>
      </c>
      <c r="F78" s="5">
        <v>23.890656</v>
      </c>
      <c r="G78" s="5">
        <v>19.687897</v>
      </c>
      <c r="H78" s="5">
        <v>29.391534999999998</v>
      </c>
      <c r="I78" s="5">
        <v>31.291768999999999</v>
      </c>
      <c r="J78" s="5">
        <v>29.575730999999998</v>
      </c>
      <c r="K78" s="5">
        <v>9.6787919999999996</v>
      </c>
      <c r="L78" s="5">
        <v>40.443539000000001</v>
      </c>
      <c r="M78" s="5">
        <v>19.128784</v>
      </c>
      <c r="N78" s="5">
        <v>19.375018999999998</v>
      </c>
      <c r="O78" s="5">
        <v>12.6647</v>
      </c>
      <c r="P78" s="5">
        <v>1.792565</v>
      </c>
      <c r="Q78" s="5">
        <v>1.7304999999999999</v>
      </c>
      <c r="R78" s="5">
        <v>15.876621999999999</v>
      </c>
      <c r="S78" s="5">
        <v>41.325862999999998</v>
      </c>
      <c r="T78" s="6">
        <v>1270.089965820312</v>
      </c>
    </row>
    <row r="79" spans="1:20">
      <c r="A79" s="37">
        <v>38869</v>
      </c>
      <c r="B79" s="5">
        <v>23.053048999999998</v>
      </c>
      <c r="C79" s="5">
        <v>32.164710999999997</v>
      </c>
      <c r="D79" s="5">
        <v>25.354782</v>
      </c>
      <c r="E79" s="5">
        <v>317.32974200000001</v>
      </c>
      <c r="F79" s="5">
        <v>22.921143999999998</v>
      </c>
      <c r="G79" s="5">
        <v>19.787924</v>
      </c>
      <c r="H79" s="5">
        <v>28.667043999999997</v>
      </c>
      <c r="I79" s="5">
        <v>32.070468999999996</v>
      </c>
      <c r="J79" s="5">
        <v>28.765525999999998</v>
      </c>
      <c r="K79" s="5">
        <v>9.6922519999999999</v>
      </c>
      <c r="L79" s="5">
        <v>39.595379000000001</v>
      </c>
      <c r="M79" s="5">
        <v>19.569651</v>
      </c>
      <c r="N79" s="5">
        <v>19.733438</v>
      </c>
      <c r="O79" s="5">
        <v>11.856660999999999</v>
      </c>
      <c r="P79" s="5">
        <v>1.717587</v>
      </c>
      <c r="Q79" s="5">
        <v>1.9339999999999999</v>
      </c>
      <c r="R79" s="5">
        <v>16.395928999999999</v>
      </c>
      <c r="S79" s="5">
        <v>39.876472</v>
      </c>
      <c r="T79" s="6">
        <v>1270.199951171875</v>
      </c>
    </row>
    <row r="80" spans="1:20">
      <c r="A80" s="37">
        <v>38899</v>
      </c>
      <c r="B80" s="5">
        <v>23.823491999999998</v>
      </c>
      <c r="C80" s="5">
        <v>34.458407999999999</v>
      </c>
      <c r="D80" s="5">
        <v>27.540116999999999</v>
      </c>
      <c r="E80" s="5">
        <v>317.724335</v>
      </c>
      <c r="F80" s="5">
        <v>24.098659999999999</v>
      </c>
      <c r="G80" s="5">
        <v>19.053485999999999</v>
      </c>
      <c r="H80" s="5">
        <v>25.039811999999998</v>
      </c>
      <c r="I80" s="5">
        <v>32.416545999999997</v>
      </c>
      <c r="J80" s="5">
        <v>27.800186</v>
      </c>
      <c r="K80" s="5">
        <v>10.732915999999999</v>
      </c>
      <c r="L80" s="5">
        <v>38.732346</v>
      </c>
      <c r="M80" s="5">
        <v>17.679679999999998</v>
      </c>
      <c r="N80" s="5">
        <v>21.280816999999999</v>
      </c>
      <c r="O80" s="5">
        <v>12.058012999999999</v>
      </c>
      <c r="P80" s="5">
        <v>2.038192</v>
      </c>
      <c r="Q80" s="5">
        <v>1.3445</v>
      </c>
      <c r="R80" s="5">
        <v>16.930733</v>
      </c>
      <c r="S80" s="5">
        <v>40.182735000000001</v>
      </c>
      <c r="T80" s="6">
        <v>1276.660034179688</v>
      </c>
    </row>
    <row r="81" spans="1:20">
      <c r="A81" s="37">
        <v>38930</v>
      </c>
      <c r="B81" s="5">
        <v>25.480211000000001</v>
      </c>
      <c r="C81" s="5">
        <v>34.418265999999996</v>
      </c>
      <c r="D81" s="5">
        <v>27.789224999999998</v>
      </c>
      <c r="E81" s="5">
        <v>324.56417799999997</v>
      </c>
      <c r="F81" s="5">
        <v>25.748027999999998</v>
      </c>
      <c r="G81" s="5">
        <v>20.610982999999997</v>
      </c>
      <c r="H81" s="5">
        <v>26.947906</v>
      </c>
      <c r="I81" s="5">
        <v>35.903782</v>
      </c>
      <c r="J81" s="5">
        <v>28.939900999999999</v>
      </c>
      <c r="K81" s="5">
        <v>11.381266</v>
      </c>
      <c r="L81" s="5">
        <v>39.199058999999998</v>
      </c>
      <c r="M81" s="5">
        <v>17.958786</v>
      </c>
      <c r="N81" s="5">
        <v>20.445356</v>
      </c>
      <c r="O81" s="5">
        <v>13.610847999999999</v>
      </c>
      <c r="P81" s="5">
        <v>2.0348919999999997</v>
      </c>
      <c r="Q81" s="5">
        <v>1.5414999999999999</v>
      </c>
      <c r="R81" s="5">
        <v>18.084782000000001</v>
      </c>
      <c r="S81" s="5">
        <v>42.030688999999995</v>
      </c>
      <c r="T81" s="6">
        <v>1303.819946289062</v>
      </c>
    </row>
    <row r="82" spans="1:20">
      <c r="A82" s="37">
        <v>38961</v>
      </c>
      <c r="B82" s="5">
        <v>25.980727999999999</v>
      </c>
      <c r="C82" s="5">
        <v>36.210330999999996</v>
      </c>
      <c r="D82" s="5">
        <v>28.580416</v>
      </c>
      <c r="E82" s="5">
        <v>329.98742699999997</v>
      </c>
      <c r="F82" s="5">
        <v>26.084575999999998</v>
      </c>
      <c r="G82" s="5">
        <v>23.449202</v>
      </c>
      <c r="H82" s="5">
        <v>28.952613999999997</v>
      </c>
      <c r="I82" s="5">
        <v>35.950171999999995</v>
      </c>
      <c r="J82" s="5">
        <v>30.545279999999998</v>
      </c>
      <c r="K82" s="5">
        <v>11.820079</v>
      </c>
      <c r="L82" s="5">
        <v>41.840178999999999</v>
      </c>
      <c r="M82" s="5">
        <v>18.469528</v>
      </c>
      <c r="N82" s="5">
        <v>21.452311999999999</v>
      </c>
      <c r="O82" s="5">
        <v>13.914358</v>
      </c>
      <c r="P82" s="5">
        <v>2.3087109999999997</v>
      </c>
      <c r="Q82" s="5">
        <v>1.6059999999999999</v>
      </c>
      <c r="R82" s="5">
        <v>19.316739999999999</v>
      </c>
      <c r="S82" s="5">
        <v>42.703841999999995</v>
      </c>
      <c r="T82" s="6">
        <v>1335.849975585938</v>
      </c>
    </row>
    <row r="83" spans="1:20">
      <c r="A83" s="37">
        <v>38991</v>
      </c>
      <c r="B83" s="5">
        <v>27.792254999999997</v>
      </c>
      <c r="C83" s="5">
        <v>36.413128</v>
      </c>
      <c r="D83" s="5">
        <v>28.872556999999997</v>
      </c>
      <c r="E83" s="5">
        <v>333.24279799999999</v>
      </c>
      <c r="F83" s="5">
        <v>26.612537</v>
      </c>
      <c r="G83" s="5">
        <v>23.903693999999998</v>
      </c>
      <c r="H83" s="5">
        <v>29.512544999999999</v>
      </c>
      <c r="I83" s="5">
        <v>36.768020999999997</v>
      </c>
      <c r="J83" s="5">
        <v>29.381159</v>
      </c>
      <c r="K83" s="5">
        <v>11.107377</v>
      </c>
      <c r="L83" s="5">
        <v>43.130897999999995</v>
      </c>
      <c r="M83" s="5">
        <v>19.425957</v>
      </c>
      <c r="N83" s="5">
        <v>21.517526999999998</v>
      </c>
      <c r="O83" s="5">
        <v>13.732716</v>
      </c>
      <c r="P83" s="5">
        <v>2.4316739999999997</v>
      </c>
      <c r="Q83" s="5">
        <v>1.9044999999999999</v>
      </c>
      <c r="R83" s="5">
        <v>20.277270999999999</v>
      </c>
      <c r="S83" s="5">
        <v>48.118697999999995</v>
      </c>
      <c r="T83" s="6">
        <v>1377.93994140625</v>
      </c>
    </row>
    <row r="84" spans="1:20">
      <c r="A84" s="37">
        <v>39022</v>
      </c>
      <c r="B84" s="5">
        <v>27.664327999999998</v>
      </c>
      <c r="C84" s="5">
        <v>36.399611999999998</v>
      </c>
      <c r="D84" s="5">
        <v>28.368565</v>
      </c>
      <c r="E84" s="5">
        <v>329.45617699999997</v>
      </c>
      <c r="F84" s="5">
        <v>25.719718999999998</v>
      </c>
      <c r="G84" s="5">
        <v>22.912938999999998</v>
      </c>
      <c r="H84" s="5">
        <v>33.280898999999998</v>
      </c>
      <c r="I84" s="5">
        <v>36.60228</v>
      </c>
      <c r="J84" s="5">
        <v>31.459111999999998</v>
      </c>
      <c r="K84" s="5">
        <v>11.457478</v>
      </c>
      <c r="L84" s="5">
        <v>43.927504999999996</v>
      </c>
      <c r="M84" s="5">
        <v>19.401845999999999</v>
      </c>
      <c r="N84" s="5">
        <v>20.894956999999998</v>
      </c>
      <c r="O84" s="5">
        <v>13.893913999999999</v>
      </c>
      <c r="P84" s="5">
        <v>2.7489789999999998</v>
      </c>
      <c r="Q84" s="5">
        <v>2.0169999999999999</v>
      </c>
      <c r="R84" s="5">
        <v>20.736362</v>
      </c>
      <c r="S84" s="5">
        <v>47.905017999999998</v>
      </c>
      <c r="T84" s="6">
        <v>1400.630004882812</v>
      </c>
    </row>
    <row r="85" spans="1:20">
      <c r="A85" s="37">
        <v>39052</v>
      </c>
      <c r="B85" s="5">
        <v>29.752202999999998</v>
      </c>
      <c r="C85" s="5">
        <v>36.464942999999998</v>
      </c>
      <c r="D85" s="5">
        <v>29.606769999999997</v>
      </c>
      <c r="E85" s="5">
        <v>373.70422400000001</v>
      </c>
      <c r="F85" s="5">
        <v>25.635448</v>
      </c>
      <c r="G85" s="5">
        <v>20.757180999999999</v>
      </c>
      <c r="H85" s="5">
        <v>32.958508000000002</v>
      </c>
      <c r="I85" s="5">
        <v>37.465012000000002</v>
      </c>
      <c r="J85" s="5">
        <v>31.008982</v>
      </c>
      <c r="K85" s="5">
        <v>10.890559999999999</v>
      </c>
      <c r="L85" s="5">
        <v>45.386271999999998</v>
      </c>
      <c r="M85" s="5">
        <v>19.727406999999999</v>
      </c>
      <c r="N85" s="5">
        <v>21.248628999999998</v>
      </c>
      <c r="O85" s="5">
        <v>14.192604999999999</v>
      </c>
      <c r="P85" s="5">
        <v>2.5444399999999998</v>
      </c>
      <c r="Q85" s="5">
        <v>1.9729999999999999</v>
      </c>
      <c r="R85" s="5">
        <v>21.1616</v>
      </c>
      <c r="S85" s="5">
        <v>50.794970999999997</v>
      </c>
      <c r="T85" s="6">
        <v>1418.300048828125</v>
      </c>
    </row>
    <row r="86" spans="1:20">
      <c r="A86" s="37">
        <v>39083</v>
      </c>
      <c r="B86" s="5">
        <v>30.187175999999997</v>
      </c>
      <c r="C86" s="5">
        <v>35.911719999999995</v>
      </c>
      <c r="D86" s="5">
        <v>31.218903999999998</v>
      </c>
      <c r="E86" s="5">
        <v>369.87988300000001</v>
      </c>
      <c r="F86" s="5">
        <v>25.813016999999999</v>
      </c>
      <c r="G86" s="5">
        <v>22.662644999999998</v>
      </c>
      <c r="H86" s="5">
        <v>34.925255</v>
      </c>
      <c r="I86" s="5">
        <v>37.814776999999999</v>
      </c>
      <c r="J86" s="5">
        <v>35.513137999999998</v>
      </c>
      <c r="K86" s="5">
        <v>11.033524999999999</v>
      </c>
      <c r="L86" s="5">
        <v>43.553455</v>
      </c>
      <c r="M86" s="5">
        <v>18.698934999999999</v>
      </c>
      <c r="N86" s="5">
        <v>21.463744999999999</v>
      </c>
      <c r="O86" s="5">
        <v>14.052745</v>
      </c>
      <c r="P86" s="5">
        <v>2.5711329999999997</v>
      </c>
      <c r="Q86" s="5">
        <v>1.8835</v>
      </c>
      <c r="R86" s="5">
        <v>21.870296</v>
      </c>
      <c r="S86" s="5">
        <v>51.840682999999999</v>
      </c>
      <c r="T86" s="6">
        <v>1438.239990234375</v>
      </c>
    </row>
    <row r="87" spans="1:20">
      <c r="A87" s="37">
        <v>39114</v>
      </c>
      <c r="B87" s="5">
        <v>29.967136</v>
      </c>
      <c r="C87" s="5">
        <v>34.716484000000001</v>
      </c>
      <c r="D87" s="5">
        <v>30.489542</v>
      </c>
      <c r="E87" s="5">
        <v>337.94409200000001</v>
      </c>
      <c r="F87" s="5">
        <v>26.476074000000001</v>
      </c>
      <c r="G87" s="5">
        <v>24.399614</v>
      </c>
      <c r="H87" s="5">
        <v>37.714946999999995</v>
      </c>
      <c r="I87" s="5">
        <v>37.187671999999999</v>
      </c>
      <c r="J87" s="5">
        <v>34.464988999999996</v>
      </c>
      <c r="K87" s="5">
        <v>10.495307</v>
      </c>
      <c r="L87" s="5">
        <v>42.648986999999998</v>
      </c>
      <c r="M87" s="5">
        <v>20.02704</v>
      </c>
      <c r="N87" s="5">
        <v>20.897738999999998</v>
      </c>
      <c r="O87" s="5">
        <v>14.263022999999999</v>
      </c>
      <c r="P87" s="5">
        <v>2.537541</v>
      </c>
      <c r="Q87" s="5">
        <v>1.9569999999999999</v>
      </c>
      <c r="R87" s="5">
        <v>19.963911</v>
      </c>
      <c r="S87" s="5">
        <v>48.593776999999996</v>
      </c>
      <c r="T87" s="6">
        <v>1406.819946289062</v>
      </c>
    </row>
    <row r="88" spans="1:20">
      <c r="A88" s="37">
        <v>39142</v>
      </c>
      <c r="B88" s="5">
        <v>29.138112999999997</v>
      </c>
      <c r="C88" s="5">
        <v>35.234660999999996</v>
      </c>
      <c r="D88" s="5">
        <v>29.866049</v>
      </c>
      <c r="E88" s="5">
        <v>347.859283</v>
      </c>
      <c r="F88" s="5">
        <v>26.480439999999998</v>
      </c>
      <c r="G88" s="5">
        <v>24.607177999999998</v>
      </c>
      <c r="H88" s="5">
        <v>37.836860999999999</v>
      </c>
      <c r="I88" s="5">
        <v>36.994403999999996</v>
      </c>
      <c r="J88" s="5">
        <v>34.334758999999998</v>
      </c>
      <c r="K88" s="5">
        <v>10.737511999999999</v>
      </c>
      <c r="L88" s="5">
        <v>42.296527999999995</v>
      </c>
      <c r="M88" s="5">
        <v>19.170047999999998</v>
      </c>
      <c r="N88" s="5">
        <v>20.735136000000001</v>
      </c>
      <c r="O88" s="5">
        <v>14.420574999999999</v>
      </c>
      <c r="P88" s="5">
        <v>2.786467</v>
      </c>
      <c r="Q88" s="5">
        <v>1.9894999999999998</v>
      </c>
      <c r="R88" s="5">
        <v>19.819782</v>
      </c>
      <c r="S88" s="5">
        <v>49.432476000000001</v>
      </c>
      <c r="T88" s="6">
        <v>1420.859985351562</v>
      </c>
    </row>
    <row r="89" spans="1:20">
      <c r="A89" s="37">
        <v>39173</v>
      </c>
      <c r="B89" s="5">
        <v>30.557281</v>
      </c>
      <c r="C89" s="5">
        <v>35.151809999999998</v>
      </c>
      <c r="D89" s="5">
        <v>32.162495</v>
      </c>
      <c r="E89" s="5">
        <v>363.30767800000001</v>
      </c>
      <c r="F89" s="5">
        <v>27.398381999999998</v>
      </c>
      <c r="G89" s="5">
        <v>24.058280999999997</v>
      </c>
      <c r="H89" s="5">
        <v>38.256495999999999</v>
      </c>
      <c r="I89" s="5">
        <v>37.720703</v>
      </c>
      <c r="J89" s="5">
        <v>36.346240999999999</v>
      </c>
      <c r="K89" s="5">
        <v>11.247603</v>
      </c>
      <c r="L89" s="5">
        <v>45.498764000000001</v>
      </c>
      <c r="M89" s="5">
        <v>19.080358999999998</v>
      </c>
      <c r="N89" s="5">
        <v>21.614404999999998</v>
      </c>
      <c r="O89" s="5">
        <v>14.590060999999999</v>
      </c>
      <c r="P89" s="5">
        <v>2.993106</v>
      </c>
      <c r="Q89" s="5">
        <v>3.0665</v>
      </c>
      <c r="R89" s="5">
        <v>21.291864</v>
      </c>
      <c r="S89" s="5">
        <v>53.601658</v>
      </c>
      <c r="T89" s="6">
        <v>1482.369995117188</v>
      </c>
    </row>
    <row r="90" spans="1:20">
      <c r="A90" s="37">
        <v>39203</v>
      </c>
      <c r="B90" s="5">
        <v>30.130818999999999</v>
      </c>
      <c r="C90" s="5">
        <v>35.020579999999995</v>
      </c>
      <c r="D90" s="5">
        <v>32.222923000000002</v>
      </c>
      <c r="E90" s="5">
        <v>369.20230099999998</v>
      </c>
      <c r="F90" s="5">
        <v>29.159962</v>
      </c>
      <c r="G90" s="5">
        <v>21.872661999999998</v>
      </c>
      <c r="H90" s="5">
        <v>42.127620999999998</v>
      </c>
      <c r="I90" s="5">
        <v>37.428393999999997</v>
      </c>
      <c r="J90" s="5">
        <v>39.433299999999996</v>
      </c>
      <c r="K90" s="5">
        <v>11.685438</v>
      </c>
      <c r="L90" s="5">
        <v>48.862197999999999</v>
      </c>
      <c r="M90" s="5">
        <v>20.474688999999998</v>
      </c>
      <c r="N90" s="5">
        <v>21.734852</v>
      </c>
      <c r="O90" s="5">
        <v>16.615908000000001</v>
      </c>
      <c r="P90" s="5">
        <v>3.634614</v>
      </c>
      <c r="Q90" s="5">
        <v>3.4569999999999999</v>
      </c>
      <c r="R90" s="5">
        <v>21.825232</v>
      </c>
      <c r="S90" s="5">
        <v>55.9039</v>
      </c>
      <c r="T90" s="6">
        <v>1530.619995117188</v>
      </c>
    </row>
    <row r="91" spans="1:20">
      <c r="A91" s="37">
        <v>39234</v>
      </c>
      <c r="B91" s="5">
        <v>29.372693999999999</v>
      </c>
      <c r="C91" s="5">
        <v>34.137141999999997</v>
      </c>
      <c r="D91" s="5">
        <v>30.121570999999999</v>
      </c>
      <c r="E91" s="5">
        <v>351.01119999999997</v>
      </c>
      <c r="F91" s="5">
        <v>28.405595999999999</v>
      </c>
      <c r="G91" s="5">
        <v>21.790486999999999</v>
      </c>
      <c r="H91" s="5">
        <v>42.222041999999995</v>
      </c>
      <c r="I91" s="5">
        <v>36.038440999999999</v>
      </c>
      <c r="J91" s="5">
        <v>37.855464999999995</v>
      </c>
      <c r="K91" s="5">
        <v>10.985771</v>
      </c>
      <c r="L91" s="5">
        <v>46.004767999999999</v>
      </c>
      <c r="M91" s="5">
        <v>20.899887</v>
      </c>
      <c r="N91" s="5">
        <v>21.346641999999999</v>
      </c>
      <c r="O91" s="5">
        <v>16.473989</v>
      </c>
      <c r="P91" s="5">
        <v>3.660107</v>
      </c>
      <c r="Q91" s="5">
        <v>3.4204999999999997</v>
      </c>
      <c r="R91" s="5">
        <v>21.025514999999999</v>
      </c>
      <c r="S91" s="5">
        <v>55.410767</v>
      </c>
      <c r="T91" s="6">
        <v>1503.349975585938</v>
      </c>
    </row>
    <row r="92" spans="1:20">
      <c r="A92" s="37">
        <v>39264</v>
      </c>
      <c r="B92" s="5">
        <v>29.477978</v>
      </c>
      <c r="C92" s="5">
        <v>33.110706</v>
      </c>
      <c r="D92" s="5">
        <v>27.361196999999997</v>
      </c>
      <c r="E92" s="5">
        <v>318.70910599999996</v>
      </c>
      <c r="F92" s="5">
        <v>27.593373999999997</v>
      </c>
      <c r="G92" s="5">
        <v>19.824493</v>
      </c>
      <c r="H92" s="5">
        <v>42.264373999999997</v>
      </c>
      <c r="I92" s="5">
        <v>36.433033000000002</v>
      </c>
      <c r="J92" s="5">
        <v>34.671241999999999</v>
      </c>
      <c r="K92" s="5">
        <v>10.100721</v>
      </c>
      <c r="L92" s="5">
        <v>44.019596</v>
      </c>
      <c r="M92" s="5">
        <v>18.809899999999999</v>
      </c>
      <c r="N92" s="5">
        <v>20.496894999999999</v>
      </c>
      <c r="O92" s="5">
        <v>15.422865</v>
      </c>
      <c r="P92" s="5">
        <v>3.951619</v>
      </c>
      <c r="Q92" s="5">
        <v>3.9269999999999996</v>
      </c>
      <c r="R92" s="5">
        <v>20.683057999999999</v>
      </c>
      <c r="S92" s="5">
        <v>58.253676999999996</v>
      </c>
      <c r="T92" s="6">
        <v>1455.27001953125</v>
      </c>
    </row>
    <row r="93" spans="1:20">
      <c r="A93" s="37">
        <v>39295</v>
      </c>
      <c r="B93" s="5">
        <v>26.113727999999998</v>
      </c>
      <c r="C93" s="5">
        <v>35.386981999999996</v>
      </c>
      <c r="D93" s="5">
        <v>27.893910999999999</v>
      </c>
      <c r="E93" s="5">
        <v>320.83062699999999</v>
      </c>
      <c r="F93" s="5">
        <v>27.191689</v>
      </c>
      <c r="G93" s="5">
        <v>17.433682999999998</v>
      </c>
      <c r="H93" s="5">
        <v>47.753623999999995</v>
      </c>
      <c r="I93" s="5">
        <v>38.680938999999995</v>
      </c>
      <c r="J93" s="5">
        <v>35.554778999999996</v>
      </c>
      <c r="K93" s="5">
        <v>10.672132999999999</v>
      </c>
      <c r="L93" s="5">
        <v>44.187007999999999</v>
      </c>
      <c r="M93" s="5">
        <v>18.085808</v>
      </c>
      <c r="N93" s="5">
        <v>22.178165</v>
      </c>
      <c r="O93" s="5">
        <v>16.560009000000001</v>
      </c>
      <c r="P93" s="5">
        <v>4.1531589999999996</v>
      </c>
      <c r="Q93" s="5">
        <v>3.9954999999999998</v>
      </c>
      <c r="R93" s="5">
        <v>20.497564000000001</v>
      </c>
      <c r="S93" s="5">
        <v>61.433562999999999</v>
      </c>
      <c r="T93" s="6">
        <v>1473.989990234375</v>
      </c>
    </row>
    <row r="94" spans="1:20">
      <c r="A94" s="37">
        <v>39326</v>
      </c>
      <c r="B94" s="5">
        <v>26.077874999999999</v>
      </c>
      <c r="C94" s="5">
        <v>35.100704</v>
      </c>
      <c r="D94" s="5">
        <v>28.708447</v>
      </c>
      <c r="E94" s="5">
        <v>323.11767599999996</v>
      </c>
      <c r="F94" s="5">
        <v>29.203401999999997</v>
      </c>
      <c r="G94" s="5">
        <v>17.763452999999998</v>
      </c>
      <c r="H94" s="5">
        <v>52.091662999999997</v>
      </c>
      <c r="I94" s="5">
        <v>41.660046000000001</v>
      </c>
      <c r="J94" s="5">
        <v>35.172534999999996</v>
      </c>
      <c r="K94" s="5">
        <v>10.622499999999999</v>
      </c>
      <c r="L94" s="5">
        <v>44.752353999999997</v>
      </c>
      <c r="M94" s="5">
        <v>16.433135999999998</v>
      </c>
      <c r="N94" s="5">
        <v>21.813579999999998</v>
      </c>
      <c r="O94" s="5">
        <v>18.578218</v>
      </c>
      <c r="P94" s="5">
        <v>4.6027259999999997</v>
      </c>
      <c r="Q94" s="5">
        <v>4.6574999999999998</v>
      </c>
      <c r="R94" s="5">
        <v>21.092053999999997</v>
      </c>
      <c r="S94" s="5">
        <v>62.237212999999997</v>
      </c>
      <c r="T94" s="6">
        <v>1526.75</v>
      </c>
    </row>
    <row r="95" spans="1:20">
      <c r="A95" s="37">
        <v>39356</v>
      </c>
      <c r="B95" s="5">
        <v>27.273968</v>
      </c>
      <c r="C95" s="5">
        <v>34.138953999999998</v>
      </c>
      <c r="D95" s="5">
        <v>29.447751999999998</v>
      </c>
      <c r="E95" s="5">
        <v>290.09274299999998</v>
      </c>
      <c r="F95" s="5">
        <v>29.693987</v>
      </c>
      <c r="G95" s="5">
        <v>17.681721</v>
      </c>
      <c r="H95" s="5">
        <v>54.557873000000001</v>
      </c>
      <c r="I95" s="5">
        <v>41.174369999999996</v>
      </c>
      <c r="J95" s="5">
        <v>36.259963999999997</v>
      </c>
      <c r="K95" s="5">
        <v>10.700761999999999</v>
      </c>
      <c r="L95" s="5">
        <v>45.943339999999999</v>
      </c>
      <c r="M95" s="5">
        <v>16.266807999999997</v>
      </c>
      <c r="N95" s="5">
        <v>20.827621000000001</v>
      </c>
      <c r="O95" s="5">
        <v>18.268098999999999</v>
      </c>
      <c r="P95" s="5">
        <v>5.6967989999999995</v>
      </c>
      <c r="Q95" s="5">
        <v>4.4574999999999996</v>
      </c>
      <c r="R95" s="5">
        <v>26.354326</v>
      </c>
      <c r="S95" s="5">
        <v>61.349632</v>
      </c>
      <c r="T95" s="6">
        <v>1549.380004882812</v>
      </c>
    </row>
    <row r="96" spans="1:20">
      <c r="A96" s="37">
        <v>39387</v>
      </c>
      <c r="B96" s="5">
        <v>24.8657</v>
      </c>
      <c r="C96" s="5">
        <v>32.618670999999999</v>
      </c>
      <c r="D96" s="5">
        <v>28.815314999999998</v>
      </c>
      <c r="E96" s="5">
        <v>230.55122399999999</v>
      </c>
      <c r="F96" s="5">
        <v>28.454373999999998</v>
      </c>
      <c r="G96" s="5">
        <v>16.367877999999997</v>
      </c>
      <c r="H96" s="5">
        <v>60.510261999999997</v>
      </c>
      <c r="I96" s="5">
        <v>44.045432999999996</v>
      </c>
      <c r="J96" s="5">
        <v>32.857638999999999</v>
      </c>
      <c r="K96" s="5">
        <v>10.331171999999999</v>
      </c>
      <c r="L96" s="5">
        <v>44.568667999999995</v>
      </c>
      <c r="M96" s="5">
        <v>13.722000999999999</v>
      </c>
      <c r="N96" s="5">
        <v>19.860035</v>
      </c>
      <c r="O96" s="5">
        <v>18.270651000000001</v>
      </c>
      <c r="P96" s="5">
        <v>5.4649659999999995</v>
      </c>
      <c r="Q96" s="5">
        <v>4.5279999999999996</v>
      </c>
      <c r="R96" s="5">
        <v>24.056107999999998</v>
      </c>
      <c r="S96" s="5">
        <v>55.569686999999995</v>
      </c>
      <c r="T96" s="6">
        <v>1481.140014648438</v>
      </c>
    </row>
    <row r="97" spans="1:20">
      <c r="A97" s="37">
        <v>39417</v>
      </c>
      <c r="B97" s="5">
        <v>21.652894999999997</v>
      </c>
      <c r="C97" s="5">
        <v>29.175084999999999</v>
      </c>
      <c r="D97" s="5">
        <v>27.570985999999998</v>
      </c>
      <c r="E97" s="5">
        <v>206.487762</v>
      </c>
      <c r="F97" s="5">
        <v>25.527296</v>
      </c>
      <c r="G97" s="5">
        <v>14.281177999999999</v>
      </c>
      <c r="H97" s="5">
        <v>65.596206999999993</v>
      </c>
      <c r="I97" s="5">
        <v>43.700190999999997</v>
      </c>
      <c r="J97" s="5">
        <v>30.545320999999998</v>
      </c>
      <c r="K97" s="5">
        <v>10.004555999999999</v>
      </c>
      <c r="L97" s="5">
        <v>39.309287999999995</v>
      </c>
      <c r="M97" s="5">
        <v>14.782048999999999</v>
      </c>
      <c r="N97" s="5">
        <v>18.663857</v>
      </c>
      <c r="O97" s="5">
        <v>17.074580999999998</v>
      </c>
      <c r="P97" s="5">
        <v>5.940626</v>
      </c>
      <c r="Q97" s="5">
        <v>4.6319999999999997</v>
      </c>
      <c r="R97" s="5">
        <v>25.572286999999999</v>
      </c>
      <c r="S97" s="5">
        <v>57.315005999999997</v>
      </c>
      <c r="T97" s="6">
        <v>1468.359985351562</v>
      </c>
    </row>
    <row r="98" spans="1:20">
      <c r="A98" s="37">
        <v>39448</v>
      </c>
      <c r="B98" s="5">
        <v>20.258357999999998</v>
      </c>
      <c r="C98" s="5">
        <v>31.671975999999997</v>
      </c>
      <c r="D98" s="5">
        <v>29.939643999999998</v>
      </c>
      <c r="E98" s="5">
        <v>197.58021499999998</v>
      </c>
      <c r="F98" s="5">
        <v>25.464143999999997</v>
      </c>
      <c r="G98" s="5">
        <v>15.315688</v>
      </c>
      <c r="H98" s="5">
        <v>61.846443000000001</v>
      </c>
      <c r="I98" s="5">
        <v>38.938521999999999</v>
      </c>
      <c r="J98" s="5">
        <v>32.559559</v>
      </c>
      <c r="K98" s="5">
        <v>10.281848999999999</v>
      </c>
      <c r="L98" s="5">
        <v>37.125434999999996</v>
      </c>
      <c r="M98" s="5">
        <v>14.115888999999999</v>
      </c>
      <c r="N98" s="5">
        <v>21.068707999999997</v>
      </c>
      <c r="O98" s="5">
        <v>16.525358000000001</v>
      </c>
      <c r="P98" s="5">
        <v>4.0595889999999999</v>
      </c>
      <c r="Q98" s="5">
        <v>3.8849999999999998</v>
      </c>
      <c r="R98" s="5">
        <v>23.417321999999999</v>
      </c>
      <c r="S98" s="5">
        <v>56.790084999999998</v>
      </c>
      <c r="T98" s="6">
        <v>1378.550048828125</v>
      </c>
    </row>
    <row r="99" spans="1:20">
      <c r="A99" s="37">
        <v>39479</v>
      </c>
      <c r="B99" s="5">
        <v>20.151080999999998</v>
      </c>
      <c r="C99" s="5">
        <v>28.508361999999998</v>
      </c>
      <c r="D99" s="5">
        <v>25.901565999999999</v>
      </c>
      <c r="E99" s="5">
        <v>168.229355</v>
      </c>
      <c r="F99" s="5">
        <v>23.071490999999998</v>
      </c>
      <c r="G99" s="5">
        <v>13.685419</v>
      </c>
      <c r="H99" s="5">
        <v>60.186572999999996</v>
      </c>
      <c r="I99" s="5">
        <v>39.589694999999999</v>
      </c>
      <c r="J99" s="5">
        <v>30.771829999999998</v>
      </c>
      <c r="K99" s="5">
        <v>9.8064879999999999</v>
      </c>
      <c r="L99" s="5">
        <v>32.075297999999997</v>
      </c>
      <c r="M99" s="5">
        <v>15.709619999999999</v>
      </c>
      <c r="N99" s="5">
        <v>18.070367999999998</v>
      </c>
      <c r="O99" s="5">
        <v>16.498857000000001</v>
      </c>
      <c r="P99" s="5">
        <v>3.7494809999999998</v>
      </c>
      <c r="Q99" s="5">
        <v>3.2235</v>
      </c>
      <c r="R99" s="5">
        <v>19.538383</v>
      </c>
      <c r="S99" s="5">
        <v>60.368953999999995</v>
      </c>
      <c r="T99" s="6">
        <v>1330.630004882812</v>
      </c>
    </row>
    <row r="100" spans="1:20">
      <c r="A100" s="37">
        <v>39508</v>
      </c>
      <c r="B100" s="5">
        <v>19.416269</v>
      </c>
      <c r="C100" s="5">
        <v>27.195556999999997</v>
      </c>
      <c r="D100" s="5">
        <v>27.367080999999999</v>
      </c>
      <c r="E100" s="5">
        <v>151.98107899999999</v>
      </c>
      <c r="F100" s="5">
        <v>20.455745999999998</v>
      </c>
      <c r="G100" s="5">
        <v>12.787099</v>
      </c>
      <c r="H100" s="5">
        <v>56.817347999999996</v>
      </c>
      <c r="I100" s="5">
        <v>41.916725</v>
      </c>
      <c r="J100" s="5">
        <v>30.188599</v>
      </c>
      <c r="K100" s="5">
        <v>9.3424999999999994</v>
      </c>
      <c r="L100" s="5">
        <v>33.152042000000002</v>
      </c>
      <c r="M100" s="5">
        <v>16.118793</v>
      </c>
      <c r="N100" s="5">
        <v>18.174914999999999</v>
      </c>
      <c r="O100" s="5">
        <v>15.100773999999999</v>
      </c>
      <c r="P100" s="5">
        <v>4.3037149999999995</v>
      </c>
      <c r="Q100" s="5">
        <v>3.5649999999999999</v>
      </c>
      <c r="R100" s="5">
        <v>20.465208000000001</v>
      </c>
      <c r="S100" s="5">
        <v>61.281043999999994</v>
      </c>
      <c r="T100" s="6">
        <v>1322.699951171875</v>
      </c>
    </row>
    <row r="101" spans="1:20">
      <c r="A101" s="37">
        <v>39539</v>
      </c>
      <c r="B101" s="5">
        <v>20.495702999999999</v>
      </c>
      <c r="C101" s="5">
        <v>27.382035999999999</v>
      </c>
      <c r="D101" s="5">
        <v>30.361850999999998</v>
      </c>
      <c r="E101" s="5">
        <v>179.29795799999999</v>
      </c>
      <c r="F101" s="5">
        <v>22.811278999999999</v>
      </c>
      <c r="G101" s="5">
        <v>14.099691999999999</v>
      </c>
      <c r="H101" s="5">
        <v>59.565600999999994</v>
      </c>
      <c r="I101" s="5">
        <v>40.110129999999998</v>
      </c>
      <c r="J101" s="5">
        <v>30.778203999999999</v>
      </c>
      <c r="K101" s="5">
        <v>8.9764739999999996</v>
      </c>
      <c r="L101" s="5">
        <v>36.412662999999995</v>
      </c>
      <c r="M101" s="5">
        <v>16.648111</v>
      </c>
      <c r="N101" s="5">
        <v>18.580880999999998</v>
      </c>
      <c r="O101" s="5">
        <v>16.178868999999999</v>
      </c>
      <c r="P101" s="5">
        <v>5.2169419999999995</v>
      </c>
      <c r="Q101" s="5">
        <v>3.9314999999999998</v>
      </c>
      <c r="R101" s="5">
        <v>20.566165999999999</v>
      </c>
      <c r="S101" s="5">
        <v>64.240257</v>
      </c>
      <c r="T101" s="6">
        <v>1385.589965820312</v>
      </c>
    </row>
    <row r="102" spans="1:20">
      <c r="A102" s="37">
        <v>39569</v>
      </c>
      <c r="B102" s="5">
        <v>16.852646</v>
      </c>
      <c r="C102" s="5">
        <v>24.807221999999999</v>
      </c>
      <c r="D102" s="5">
        <v>27.622281999999998</v>
      </c>
      <c r="E102" s="5">
        <v>155.31585699999999</v>
      </c>
      <c r="F102" s="5">
        <v>22.728438999999998</v>
      </c>
      <c r="G102" s="5">
        <v>13.196505999999999</v>
      </c>
      <c r="H102" s="5">
        <v>57.631316999999996</v>
      </c>
      <c r="I102" s="5">
        <v>39.738254999999995</v>
      </c>
      <c r="J102" s="5">
        <v>30.995137999999997</v>
      </c>
      <c r="K102" s="5">
        <v>8.6416989999999991</v>
      </c>
      <c r="L102" s="5">
        <v>35.283000999999999</v>
      </c>
      <c r="M102" s="5">
        <v>14.872314999999999</v>
      </c>
      <c r="N102" s="5">
        <v>17.219329999999999</v>
      </c>
      <c r="O102" s="5">
        <v>17.957463999999998</v>
      </c>
      <c r="P102" s="5">
        <v>5.6608089999999995</v>
      </c>
      <c r="Q102" s="5">
        <v>4.0809999999999995</v>
      </c>
      <c r="R102" s="5">
        <v>20.421934</v>
      </c>
      <c r="S102" s="5">
        <v>68.88662699999999</v>
      </c>
      <c r="T102" s="6">
        <v>1400.380004882812</v>
      </c>
    </row>
    <row r="103" spans="1:20">
      <c r="A103" s="37">
        <v>39600</v>
      </c>
      <c r="B103" s="5">
        <v>13.035036999999999</v>
      </c>
      <c r="C103" s="5">
        <v>17.411009</v>
      </c>
      <c r="D103" s="5">
        <v>22.040006999999999</v>
      </c>
      <c r="E103" s="5">
        <v>120.44223799999999</v>
      </c>
      <c r="F103" s="5">
        <v>19.093192999999999</v>
      </c>
      <c r="G103" s="5">
        <v>10.827047</v>
      </c>
      <c r="H103" s="5">
        <v>51.105834999999999</v>
      </c>
      <c r="I103" s="5">
        <v>36.585673999999997</v>
      </c>
      <c r="J103" s="5">
        <v>28.602540999999999</v>
      </c>
      <c r="K103" s="5">
        <v>7.9222139999999994</v>
      </c>
      <c r="L103" s="5">
        <v>28.675515999999998</v>
      </c>
      <c r="M103" s="5">
        <v>13.317074</v>
      </c>
      <c r="N103" s="5">
        <v>14.982007999999999</v>
      </c>
      <c r="O103" s="5">
        <v>15.479111</v>
      </c>
      <c r="P103" s="5">
        <v>5.0217010000000002</v>
      </c>
      <c r="Q103" s="5">
        <v>3.6664999999999996</v>
      </c>
      <c r="R103" s="5">
        <v>19.910872999999999</v>
      </c>
      <c r="S103" s="5">
        <v>63.343162999999997</v>
      </c>
      <c r="T103" s="6">
        <v>1280</v>
      </c>
    </row>
    <row r="104" spans="1:20">
      <c r="A104" s="37">
        <v>39630</v>
      </c>
      <c r="B104" s="5">
        <v>15.315467</v>
      </c>
      <c r="C104" s="5">
        <v>24.467679999999998</v>
      </c>
      <c r="D104" s="5">
        <v>26.099843999999997</v>
      </c>
      <c r="E104" s="5">
        <v>134.31175199999998</v>
      </c>
      <c r="F104" s="5">
        <v>21.705009</v>
      </c>
      <c r="G104" s="5">
        <v>10.550889999999999</v>
      </c>
      <c r="H104" s="5">
        <v>49.899974999999998</v>
      </c>
      <c r="I104" s="5">
        <v>39.395302000000001</v>
      </c>
      <c r="J104" s="5">
        <v>28.561498999999998</v>
      </c>
      <c r="K104" s="5">
        <v>8.4663819999999994</v>
      </c>
      <c r="L104" s="5">
        <v>28.256847</v>
      </c>
      <c r="M104" s="5">
        <v>10.894212999999999</v>
      </c>
      <c r="N104" s="5">
        <v>19.094960999999998</v>
      </c>
      <c r="O104" s="5">
        <v>15.103750999999999</v>
      </c>
      <c r="P104" s="5">
        <v>4.7670759999999994</v>
      </c>
      <c r="Q104" s="5">
        <v>3.8169999999999997</v>
      </c>
      <c r="R104" s="5">
        <v>18.615323999999998</v>
      </c>
      <c r="S104" s="5">
        <v>68.393303000000003</v>
      </c>
      <c r="T104" s="6">
        <v>1267.380004882812</v>
      </c>
    </row>
    <row r="105" spans="1:20">
      <c r="A105" s="37">
        <v>39661</v>
      </c>
      <c r="B105" s="5">
        <v>14.470867999999999</v>
      </c>
      <c r="C105" s="5">
        <v>23.158767999999998</v>
      </c>
      <c r="D105" s="5">
        <v>25.002053999999998</v>
      </c>
      <c r="E105" s="5">
        <v>138.82948299999998</v>
      </c>
      <c r="F105" s="5">
        <v>20.513472</v>
      </c>
      <c r="G105" s="5">
        <v>11.678336999999999</v>
      </c>
      <c r="H105" s="5">
        <v>50.191586000000001</v>
      </c>
      <c r="I105" s="5">
        <v>42.238906999999998</v>
      </c>
      <c r="J105" s="5">
        <v>30.789655999999997</v>
      </c>
      <c r="K105" s="5">
        <v>8.6659089999999992</v>
      </c>
      <c r="L105" s="5">
        <v>30.337029999999999</v>
      </c>
      <c r="M105" s="5">
        <v>11.240331999999999</v>
      </c>
      <c r="N105" s="5">
        <v>19.094960999999998</v>
      </c>
      <c r="O105" s="5">
        <v>14.618122</v>
      </c>
      <c r="P105" s="5">
        <v>5.0843829999999999</v>
      </c>
      <c r="Q105" s="5">
        <v>4.0404999999999998</v>
      </c>
      <c r="R105" s="5">
        <v>19.751643999999999</v>
      </c>
      <c r="S105" s="5">
        <v>65.053283999999991</v>
      </c>
      <c r="T105" s="6">
        <v>1282.829956054688</v>
      </c>
    </row>
    <row r="106" spans="1:20">
      <c r="A106" s="37">
        <v>39692</v>
      </c>
      <c r="B106" s="5">
        <v>14.439625999999999</v>
      </c>
      <c r="C106" s="5">
        <v>26.029447999999999</v>
      </c>
      <c r="D106" s="5">
        <v>30.335054</v>
      </c>
      <c r="E106" s="5">
        <v>149.94169600000001</v>
      </c>
      <c r="F106" s="5">
        <v>20.250342999999997</v>
      </c>
      <c r="G106" s="5">
        <v>10.085326</v>
      </c>
      <c r="H106" s="5">
        <v>35.205951999999996</v>
      </c>
      <c r="I106" s="5">
        <v>42.190467999999996</v>
      </c>
      <c r="J106" s="5">
        <v>26.802094</v>
      </c>
      <c r="K106" s="5">
        <v>8.5000859999999996</v>
      </c>
      <c r="L106" s="5">
        <v>27.087709</v>
      </c>
      <c r="M106" s="5">
        <v>12.590415999999999</v>
      </c>
      <c r="N106" s="5">
        <v>23.932717999999998</v>
      </c>
      <c r="O106" s="5">
        <v>15.305733999999999</v>
      </c>
      <c r="P106" s="5">
        <v>3.4087829999999997</v>
      </c>
      <c r="Q106" s="5">
        <v>3.6379999999999999</v>
      </c>
      <c r="R106" s="5">
        <v>19.394423</v>
      </c>
      <c r="S106" s="5">
        <v>62.747611999999997</v>
      </c>
      <c r="T106" s="6">
        <v>1166.359985351562</v>
      </c>
    </row>
    <row r="107" spans="1:20">
      <c r="A107" s="37">
        <v>39722</v>
      </c>
      <c r="B107" s="5">
        <v>6.272761</v>
      </c>
      <c r="C107" s="5">
        <v>18.334806</v>
      </c>
      <c r="D107" s="5">
        <v>26.794884</v>
      </c>
      <c r="E107" s="5">
        <v>99.790520000000001</v>
      </c>
      <c r="F107" s="5">
        <v>16.806383</v>
      </c>
      <c r="G107" s="5">
        <v>6.9358569999999995</v>
      </c>
      <c r="H107" s="5">
        <v>27.558661999999998</v>
      </c>
      <c r="I107" s="5">
        <v>39.072651</v>
      </c>
      <c r="J107" s="5">
        <v>21.163954</v>
      </c>
      <c r="K107" s="5">
        <v>8.1635840000000002</v>
      </c>
      <c r="L107" s="5">
        <v>21.024891</v>
      </c>
      <c r="M107" s="5">
        <v>8.8106449999999992</v>
      </c>
      <c r="N107" s="5">
        <v>21.713536999999999</v>
      </c>
      <c r="O107" s="5">
        <v>11.804917</v>
      </c>
      <c r="P107" s="5">
        <v>3.226737</v>
      </c>
      <c r="Q107" s="5">
        <v>2.8619999999999997</v>
      </c>
      <c r="R107" s="5">
        <v>16.226212</v>
      </c>
      <c r="S107" s="5">
        <v>49.877257999999998</v>
      </c>
      <c r="T107" s="6">
        <v>968.75</v>
      </c>
    </row>
    <row r="108" spans="1:20">
      <c r="A108" s="37">
        <v>39753</v>
      </c>
      <c r="B108" s="5">
        <v>6.5767539999999993</v>
      </c>
      <c r="C108" s="5">
        <v>12.326879999999999</v>
      </c>
      <c r="D108" s="5">
        <v>20.724152</v>
      </c>
      <c r="E108" s="5">
        <v>61.365905999999995</v>
      </c>
      <c r="F108" s="5">
        <v>13.759739</v>
      </c>
      <c r="G108" s="5">
        <v>4.1874750000000001</v>
      </c>
      <c r="H108" s="5">
        <v>24.878564999999998</v>
      </c>
      <c r="I108" s="5">
        <v>39.206725999999996</v>
      </c>
      <c r="J108" s="5">
        <v>20.549855999999998</v>
      </c>
      <c r="K108" s="5">
        <v>7.5735570000000001</v>
      </c>
      <c r="L108" s="5">
        <v>17.912474</v>
      </c>
      <c r="M108" s="5">
        <v>6.6432269999999995</v>
      </c>
      <c r="N108" s="5">
        <v>18.423026999999998</v>
      </c>
      <c r="O108" s="5">
        <v>8.9366029999999999</v>
      </c>
      <c r="P108" s="5">
        <v>2.7792699999999999</v>
      </c>
      <c r="Q108" s="5">
        <v>2.1349999999999998</v>
      </c>
      <c r="R108" s="5">
        <v>14.692969999999999</v>
      </c>
      <c r="S108" s="5">
        <v>43.777400999999998</v>
      </c>
      <c r="T108" s="6">
        <v>896.239990234375</v>
      </c>
    </row>
    <row r="109" spans="1:20">
      <c r="A109" s="37">
        <v>39783</v>
      </c>
      <c r="B109" s="5">
        <v>5.7290849999999995</v>
      </c>
      <c r="C109" s="5">
        <v>10.680767999999999</v>
      </c>
      <c r="D109" s="5">
        <v>20.639068999999999</v>
      </c>
      <c r="E109" s="5">
        <v>49.670119999999997</v>
      </c>
      <c r="F109" s="5">
        <v>12.265359</v>
      </c>
      <c r="G109" s="5">
        <v>5.8410189999999993</v>
      </c>
      <c r="H109" s="5">
        <v>27.387139999999999</v>
      </c>
      <c r="I109" s="5">
        <v>37.665256999999997</v>
      </c>
      <c r="J109" s="5">
        <v>22.043092999999999</v>
      </c>
      <c r="K109" s="5">
        <v>8.3079920000000005</v>
      </c>
      <c r="L109" s="5">
        <v>14.254665999999999</v>
      </c>
      <c r="M109" s="5">
        <v>6.5125509999999993</v>
      </c>
      <c r="N109" s="5">
        <v>18.983097000000001</v>
      </c>
      <c r="O109" s="5">
        <v>9.0886269999999989</v>
      </c>
      <c r="P109" s="5">
        <v>2.5597349999999999</v>
      </c>
      <c r="Q109" s="5">
        <v>2.5640000000000001</v>
      </c>
      <c r="R109" s="5">
        <v>14.221874</v>
      </c>
      <c r="S109" s="5">
        <v>45.403220999999995</v>
      </c>
      <c r="T109" s="6">
        <v>903.25</v>
      </c>
    </row>
    <row r="110" spans="1:20">
      <c r="A110" s="37">
        <v>39814</v>
      </c>
      <c r="B110" s="5">
        <v>3.3380679999999998</v>
      </c>
      <c r="C110" s="5">
        <v>5.105124</v>
      </c>
      <c r="D110" s="5">
        <v>16.698456</v>
      </c>
      <c r="E110" s="5">
        <v>26.278531999999998</v>
      </c>
      <c r="F110" s="5">
        <v>12.747572</v>
      </c>
      <c r="G110" s="5">
        <v>5.128082</v>
      </c>
      <c r="H110" s="5">
        <v>25.010570999999999</v>
      </c>
      <c r="I110" s="5">
        <v>33.205379000000001</v>
      </c>
      <c r="J110" s="5">
        <v>20.423368</v>
      </c>
      <c r="K110" s="5">
        <v>6.8396679999999996</v>
      </c>
      <c r="L110" s="5">
        <v>12.856097999999999</v>
      </c>
      <c r="M110" s="5">
        <v>4.4157399999999996</v>
      </c>
      <c r="N110" s="5">
        <v>12.170309999999999</v>
      </c>
      <c r="O110" s="5">
        <v>8.1764700000000001</v>
      </c>
      <c r="P110" s="5">
        <v>2.7030919999999998</v>
      </c>
      <c r="Q110" s="5">
        <v>2.9409999999999998</v>
      </c>
      <c r="R110" s="5">
        <v>12.509979999999999</v>
      </c>
      <c r="S110" s="5">
        <v>49.443953999999998</v>
      </c>
      <c r="T110" s="6">
        <v>825.8800048828125</v>
      </c>
    </row>
    <row r="111" spans="1:20">
      <c r="A111" s="37">
        <v>39845</v>
      </c>
      <c r="B111" s="5">
        <v>3.0048459999999997</v>
      </c>
      <c r="C111" s="5">
        <v>3.0646249999999999</v>
      </c>
      <c r="D111" s="5">
        <v>15.139719999999999</v>
      </c>
      <c r="E111" s="5">
        <v>11.130044</v>
      </c>
      <c r="F111" s="5">
        <v>10.565685</v>
      </c>
      <c r="G111" s="5">
        <v>4.5092739999999996</v>
      </c>
      <c r="H111" s="5">
        <v>19.791027</v>
      </c>
      <c r="I111" s="5">
        <v>29.554532999999999</v>
      </c>
      <c r="J111" s="5">
        <v>17.483345</v>
      </c>
      <c r="K111" s="5">
        <v>5.7747820000000001</v>
      </c>
      <c r="L111" s="5">
        <v>9.3473119999999987</v>
      </c>
      <c r="M111" s="5">
        <v>3.6694179999999998</v>
      </c>
      <c r="N111" s="5">
        <v>7.7915719999999995</v>
      </c>
      <c r="O111" s="5">
        <v>7.5387409999999999</v>
      </c>
      <c r="P111" s="5">
        <v>2.6784999999999997</v>
      </c>
      <c r="Q111" s="5">
        <v>3.2395</v>
      </c>
      <c r="R111" s="5">
        <v>11.814983999999999</v>
      </c>
      <c r="S111" s="5">
        <v>49.648997999999999</v>
      </c>
      <c r="T111" s="6">
        <v>735.09002685546875</v>
      </c>
    </row>
    <row r="112" spans="1:20">
      <c r="A112" s="37">
        <v>39873</v>
      </c>
      <c r="B112" s="5">
        <v>4.9691019999999995</v>
      </c>
      <c r="C112" s="5">
        <v>5.291328</v>
      </c>
      <c r="D112" s="5">
        <v>17.611115999999999</v>
      </c>
      <c r="E112" s="5">
        <v>18.772672999999998</v>
      </c>
      <c r="F112" s="5">
        <v>12.734767999999999</v>
      </c>
      <c r="G112" s="5">
        <v>5.0994359999999999</v>
      </c>
      <c r="H112" s="5">
        <v>23.664287999999999</v>
      </c>
      <c r="I112" s="5">
        <v>28.891897</v>
      </c>
      <c r="J112" s="5">
        <v>19.025229</v>
      </c>
      <c r="K112" s="5">
        <v>6.5267249999999999</v>
      </c>
      <c r="L112" s="5">
        <v>10.564162999999999</v>
      </c>
      <c r="M112" s="5">
        <v>4.0159250000000002</v>
      </c>
      <c r="N112" s="5">
        <v>9.3409769999999988</v>
      </c>
      <c r="O112" s="5">
        <v>8.8851279999999999</v>
      </c>
      <c r="P112" s="5">
        <v>3.1526589999999999</v>
      </c>
      <c r="Q112" s="5">
        <v>3.6719999999999997</v>
      </c>
      <c r="R112" s="5">
        <v>13.531226</v>
      </c>
      <c r="S112" s="5">
        <v>52.555256</v>
      </c>
      <c r="T112" s="6">
        <v>797.8699951171875</v>
      </c>
    </row>
    <row r="113" spans="1:20">
      <c r="A113" s="37">
        <v>39904</v>
      </c>
      <c r="B113" s="5">
        <v>9.3594499999999989</v>
      </c>
      <c r="C113" s="5">
        <v>6.9474139999999993</v>
      </c>
      <c r="D113" s="5">
        <v>21.864811</v>
      </c>
      <c r="E113" s="5">
        <v>22.631087999999998</v>
      </c>
      <c r="F113" s="5">
        <v>16.10014</v>
      </c>
      <c r="G113" s="5">
        <v>7.8918439999999999</v>
      </c>
      <c r="H113" s="5">
        <v>29.937915999999998</v>
      </c>
      <c r="I113" s="5">
        <v>30.333728999999998</v>
      </c>
      <c r="J113" s="5">
        <v>25.147183999999999</v>
      </c>
      <c r="K113" s="5">
        <v>6.4021299999999997</v>
      </c>
      <c r="L113" s="5">
        <v>19.547193999999998</v>
      </c>
      <c r="M113" s="5">
        <v>4.7800180000000001</v>
      </c>
      <c r="N113" s="5">
        <v>13.125912</v>
      </c>
      <c r="O113" s="5">
        <v>10.128736</v>
      </c>
      <c r="P113" s="5">
        <v>3.7737729999999998</v>
      </c>
      <c r="Q113" s="5">
        <v>4.0259999999999998</v>
      </c>
      <c r="R113" s="5">
        <v>14.923389999999999</v>
      </c>
      <c r="S113" s="5">
        <v>55.983356000000001</v>
      </c>
      <c r="T113" s="6">
        <v>872.80999755859375</v>
      </c>
    </row>
    <row r="114" spans="1:20">
      <c r="A114" s="37">
        <v>39934</v>
      </c>
      <c r="B114" s="5">
        <v>11.288629999999999</v>
      </c>
      <c r="C114" s="5">
        <v>8.7679010000000002</v>
      </c>
      <c r="D114" s="5">
        <v>24.492356999999998</v>
      </c>
      <c r="E114" s="5">
        <v>27.602502999999999</v>
      </c>
      <c r="F114" s="5">
        <v>19.901646</v>
      </c>
      <c r="G114" s="5">
        <v>6.738067</v>
      </c>
      <c r="H114" s="5">
        <v>31.541467999999998</v>
      </c>
      <c r="I114" s="5">
        <v>32.142905999999996</v>
      </c>
      <c r="J114" s="5">
        <v>23.606482999999997</v>
      </c>
      <c r="K114" s="5">
        <v>7.2790719999999993</v>
      </c>
      <c r="L114" s="5">
        <v>19.518179</v>
      </c>
      <c r="M114" s="5">
        <v>5.8639599999999996</v>
      </c>
      <c r="N114" s="5">
        <v>16.727169</v>
      </c>
      <c r="O114" s="5">
        <v>13.267488</v>
      </c>
      <c r="P114" s="5">
        <v>4.0730819999999994</v>
      </c>
      <c r="Q114" s="5">
        <v>3.8994999999999997</v>
      </c>
      <c r="R114" s="5">
        <v>15.387443999999999</v>
      </c>
      <c r="S114" s="5">
        <v>57.648589999999999</v>
      </c>
      <c r="T114" s="6">
        <v>919.1400146484375</v>
      </c>
    </row>
    <row r="115" spans="1:20">
      <c r="A115" s="37">
        <v>39965</v>
      </c>
      <c r="B115" s="5">
        <v>10.780030999999999</v>
      </c>
      <c r="C115" s="5">
        <v>10.269411999999999</v>
      </c>
      <c r="D115" s="5">
        <v>22.640490999999997</v>
      </c>
      <c r="E115" s="5">
        <v>22.037492999999998</v>
      </c>
      <c r="F115" s="5">
        <v>20.924281999999998</v>
      </c>
      <c r="G115" s="5">
        <v>6.7842149999999997</v>
      </c>
      <c r="H115" s="5">
        <v>28.987392</v>
      </c>
      <c r="I115" s="5">
        <v>31.623086999999998</v>
      </c>
      <c r="J115" s="5">
        <v>22.376567999999999</v>
      </c>
      <c r="K115" s="5">
        <v>7.2694729999999996</v>
      </c>
      <c r="L115" s="5">
        <v>18.253622</v>
      </c>
      <c r="M115" s="5">
        <v>4.8955190000000002</v>
      </c>
      <c r="N115" s="5">
        <v>15.948036</v>
      </c>
      <c r="O115" s="5">
        <v>13.475971999999999</v>
      </c>
      <c r="P115" s="5">
        <v>4.2716250000000002</v>
      </c>
      <c r="Q115" s="5">
        <v>4.1829999999999998</v>
      </c>
      <c r="R115" s="5">
        <v>17.620031000000001</v>
      </c>
      <c r="S115" s="5">
        <v>56.935516</v>
      </c>
      <c r="T115" s="6">
        <v>919.32000732421875</v>
      </c>
    </row>
    <row r="116" spans="1:20">
      <c r="A116" s="37">
        <v>39995</v>
      </c>
      <c r="B116" s="5">
        <v>12.007690999999999</v>
      </c>
      <c r="C116" s="5">
        <v>11.516504999999999</v>
      </c>
      <c r="D116" s="5">
        <v>25.653928999999998</v>
      </c>
      <c r="E116" s="5">
        <v>23.521483999999997</v>
      </c>
      <c r="F116" s="5">
        <v>24.875816</v>
      </c>
      <c r="G116" s="5">
        <v>8.0564219999999995</v>
      </c>
      <c r="H116" s="5">
        <v>31.949815999999998</v>
      </c>
      <c r="I116" s="5">
        <v>34.352191999999995</v>
      </c>
      <c r="J116" s="5">
        <v>26.789164</v>
      </c>
      <c r="K116" s="5">
        <v>7.7201769999999996</v>
      </c>
      <c r="L116" s="5">
        <v>22.419660999999998</v>
      </c>
      <c r="M116" s="5">
        <v>6.9923299999999999</v>
      </c>
      <c r="N116" s="5">
        <v>16.079511999999998</v>
      </c>
      <c r="O116" s="5">
        <v>15.281979</v>
      </c>
      <c r="P116" s="5">
        <v>4.9002359999999996</v>
      </c>
      <c r="Q116" s="5">
        <v>4.2879999999999994</v>
      </c>
      <c r="R116" s="5">
        <v>17.434709999999999</v>
      </c>
      <c r="S116" s="5">
        <v>64.301932999999991</v>
      </c>
      <c r="T116" s="6">
        <v>987.47998046875</v>
      </c>
    </row>
    <row r="117" spans="1:20">
      <c r="A117" s="37">
        <v>40026</v>
      </c>
      <c r="B117" s="5">
        <v>14.287628999999999</v>
      </c>
      <c r="C117" s="5">
        <v>13.696774</v>
      </c>
      <c r="D117" s="5">
        <v>28.888898999999999</v>
      </c>
      <c r="E117" s="5">
        <v>37.100131999999995</v>
      </c>
      <c r="F117" s="5">
        <v>23.937570999999998</v>
      </c>
      <c r="G117" s="5">
        <v>8.9889060000000001</v>
      </c>
      <c r="H117" s="5">
        <v>31.847564999999999</v>
      </c>
      <c r="I117" s="5">
        <v>33.753451999999996</v>
      </c>
      <c r="J117" s="5">
        <v>27.309588999999999</v>
      </c>
      <c r="K117" s="5">
        <v>8.0933469999999996</v>
      </c>
      <c r="L117" s="5">
        <v>26.764310999999999</v>
      </c>
      <c r="M117" s="5">
        <v>6.7613240000000001</v>
      </c>
      <c r="N117" s="5">
        <v>18.091096999999998</v>
      </c>
      <c r="O117" s="5">
        <v>16.415164999999998</v>
      </c>
      <c r="P117" s="5">
        <v>5.0447929999999994</v>
      </c>
      <c r="Q117" s="5">
        <v>4.0594999999999999</v>
      </c>
      <c r="R117" s="5">
        <v>18.272355999999998</v>
      </c>
      <c r="S117" s="5">
        <v>64.367339999999999</v>
      </c>
      <c r="T117" s="6">
        <v>1020.619995117188</v>
      </c>
    </row>
    <row r="118" spans="1:20">
      <c r="A118" s="37">
        <v>40057</v>
      </c>
      <c r="B118" s="5">
        <v>13.819948</v>
      </c>
      <c r="C118" s="5">
        <v>13.175065</v>
      </c>
      <c r="D118" s="5">
        <v>29.128194999999998</v>
      </c>
      <c r="E118" s="5">
        <v>35.912940999999996</v>
      </c>
      <c r="F118" s="5">
        <v>25.467683999999998</v>
      </c>
      <c r="G118" s="5">
        <v>10.593244</v>
      </c>
      <c r="H118" s="5">
        <v>31.350869999999997</v>
      </c>
      <c r="I118" s="5">
        <v>36.130099999999999</v>
      </c>
      <c r="J118" s="5">
        <v>28.483912</v>
      </c>
      <c r="K118" s="5">
        <v>8.1013129999999993</v>
      </c>
      <c r="L118" s="5">
        <v>26.827615999999999</v>
      </c>
      <c r="M118" s="5">
        <v>7.2144490000000001</v>
      </c>
      <c r="N118" s="5">
        <v>18.559922999999998</v>
      </c>
      <c r="O118" s="5">
        <v>17.152350999999999</v>
      </c>
      <c r="P118" s="5">
        <v>5.5588410000000001</v>
      </c>
      <c r="Q118" s="5">
        <v>4.6680000000000001</v>
      </c>
      <c r="R118" s="5">
        <v>19.172713999999999</v>
      </c>
      <c r="S118" s="5">
        <v>65.522171</v>
      </c>
      <c r="T118" s="6">
        <v>1057.079956054688</v>
      </c>
    </row>
    <row r="119" spans="1:20">
      <c r="A119" s="37">
        <v>40087</v>
      </c>
      <c r="B119" s="5">
        <v>12.218145</v>
      </c>
      <c r="C119" s="5">
        <v>11.359888</v>
      </c>
      <c r="D119" s="5">
        <v>27.765519999999999</v>
      </c>
      <c r="E119" s="5">
        <v>30.347918999999997</v>
      </c>
      <c r="F119" s="5">
        <v>23.320226999999999</v>
      </c>
      <c r="G119" s="5">
        <v>10.207673999999999</v>
      </c>
      <c r="H119" s="5">
        <v>33.485324999999996</v>
      </c>
      <c r="I119" s="5">
        <v>36.180003999999997</v>
      </c>
      <c r="J119" s="5">
        <v>30.431231999999998</v>
      </c>
      <c r="K119" s="5">
        <v>8.3362789999999993</v>
      </c>
      <c r="L119" s="5">
        <v>27.718299999999999</v>
      </c>
      <c r="M119" s="5">
        <v>7.0811769999999994</v>
      </c>
      <c r="N119" s="5">
        <v>18.125239999999998</v>
      </c>
      <c r="O119" s="5">
        <v>15.233531999999999</v>
      </c>
      <c r="P119" s="5">
        <v>5.6533129999999998</v>
      </c>
      <c r="Q119" s="5">
        <v>5.9405000000000001</v>
      </c>
      <c r="R119" s="5">
        <v>20.671053000000001</v>
      </c>
      <c r="S119" s="5">
        <v>66.069930999999997</v>
      </c>
      <c r="T119" s="6">
        <v>1036.18994140625</v>
      </c>
    </row>
    <row r="120" spans="1:20">
      <c r="A120" s="37">
        <v>40118</v>
      </c>
      <c r="B120" s="5">
        <v>11.534162999999999</v>
      </c>
      <c r="C120" s="5">
        <v>12.349394999999999</v>
      </c>
      <c r="D120" s="5">
        <v>28.278283999999999</v>
      </c>
      <c r="E120" s="5">
        <v>30.496316999999998</v>
      </c>
      <c r="F120" s="5">
        <v>25.719132999999999</v>
      </c>
      <c r="G120" s="5">
        <v>9.4756509999999992</v>
      </c>
      <c r="H120" s="5">
        <v>39.336978999999999</v>
      </c>
      <c r="I120" s="5">
        <v>39.190143999999997</v>
      </c>
      <c r="J120" s="5">
        <v>32.678447999999996</v>
      </c>
      <c r="K120" s="5">
        <v>8.8943139999999996</v>
      </c>
      <c r="L120" s="5">
        <v>33.279460999999998</v>
      </c>
      <c r="M120" s="5">
        <v>7.4987639999999995</v>
      </c>
      <c r="N120" s="5">
        <v>18.467715999999999</v>
      </c>
      <c r="O120" s="5">
        <v>16.926539999999999</v>
      </c>
      <c r="P120" s="5">
        <v>5.9955119999999997</v>
      </c>
      <c r="Q120" s="5">
        <v>6.7954999999999997</v>
      </c>
      <c r="R120" s="5">
        <v>21.923386000000001</v>
      </c>
      <c r="S120" s="5">
        <v>69.214293999999995</v>
      </c>
      <c r="T120" s="6">
        <v>1095.630004882812</v>
      </c>
    </row>
    <row r="121" spans="1:20">
      <c r="A121" s="37">
        <v>40148</v>
      </c>
      <c r="B121" s="5">
        <v>10.321261</v>
      </c>
      <c r="C121" s="5">
        <v>11.733874</v>
      </c>
      <c r="D121" s="5">
        <v>27.732545999999999</v>
      </c>
      <c r="E121" s="5">
        <v>24.560292999999998</v>
      </c>
      <c r="F121" s="5">
        <v>27.062612999999999</v>
      </c>
      <c r="G121" s="5">
        <v>9.737088</v>
      </c>
      <c r="H121" s="5">
        <v>39.763370999999999</v>
      </c>
      <c r="I121" s="5">
        <v>38.109034999999999</v>
      </c>
      <c r="J121" s="5">
        <v>34.656497999999999</v>
      </c>
      <c r="K121" s="5">
        <v>8.9892599999999998</v>
      </c>
      <c r="L121" s="5">
        <v>32.237251000000001</v>
      </c>
      <c r="M121" s="5">
        <v>10.9816</v>
      </c>
      <c r="N121" s="5">
        <v>17.808266</v>
      </c>
      <c r="O121" s="5">
        <v>16.840622</v>
      </c>
      <c r="P121" s="5">
        <v>6.320011</v>
      </c>
      <c r="Q121" s="5">
        <v>6.726</v>
      </c>
      <c r="R121" s="5">
        <v>22.821439999999999</v>
      </c>
      <c r="S121" s="5">
        <v>72.028587000000002</v>
      </c>
      <c r="T121" s="6">
        <v>1115.099975585938</v>
      </c>
    </row>
    <row r="122" spans="1:20">
      <c r="A122" s="37">
        <v>40179</v>
      </c>
      <c r="B122" s="5">
        <v>10.033909999999999</v>
      </c>
      <c r="C122" s="5">
        <v>11.834814</v>
      </c>
      <c r="D122" s="5">
        <v>25.915666999999999</v>
      </c>
      <c r="E122" s="5">
        <v>24.634491000000001</v>
      </c>
      <c r="F122" s="5">
        <v>24.834582999999999</v>
      </c>
      <c r="G122" s="5">
        <v>9.2837689999999995</v>
      </c>
      <c r="H122" s="5">
        <v>36.904651999999999</v>
      </c>
      <c r="I122" s="5">
        <v>38.687304999999995</v>
      </c>
      <c r="J122" s="5">
        <v>34.715022999999995</v>
      </c>
      <c r="K122" s="5">
        <v>9.221527</v>
      </c>
      <c r="L122" s="5">
        <v>29.961863999999998</v>
      </c>
      <c r="M122" s="5">
        <v>11.479148</v>
      </c>
      <c r="N122" s="5">
        <v>18.758395999999998</v>
      </c>
      <c r="O122" s="5">
        <v>15.831037999999999</v>
      </c>
      <c r="P122" s="5">
        <v>5.7600790000000002</v>
      </c>
      <c r="Q122" s="5">
        <v>6.2704999999999993</v>
      </c>
      <c r="R122" s="5">
        <v>21.099353999999998</v>
      </c>
      <c r="S122" s="5">
        <v>67.345885999999993</v>
      </c>
      <c r="T122" s="6">
        <v>1073.869995117188</v>
      </c>
    </row>
    <row r="123" spans="1:20">
      <c r="A123" s="37">
        <v>40210</v>
      </c>
      <c r="B123" s="5">
        <v>11.241966</v>
      </c>
      <c r="C123" s="5">
        <v>12.988671</v>
      </c>
      <c r="D123" s="5">
        <v>27.965771</v>
      </c>
      <c r="E123" s="5">
        <v>25.228092</v>
      </c>
      <c r="F123" s="5">
        <v>27.464509999999997</v>
      </c>
      <c r="G123" s="5">
        <v>11.160330999999999</v>
      </c>
      <c r="H123" s="5">
        <v>42.335068</v>
      </c>
      <c r="I123" s="5">
        <v>40.060299000000001</v>
      </c>
      <c r="J123" s="5">
        <v>38.779223999999999</v>
      </c>
      <c r="K123" s="5">
        <v>8.6729779999999987</v>
      </c>
      <c r="L123" s="5">
        <v>30.515906999999999</v>
      </c>
      <c r="M123" s="5">
        <v>9.7199589999999993</v>
      </c>
      <c r="N123" s="5">
        <v>18.039193999999998</v>
      </c>
      <c r="O123" s="5">
        <v>17.314892</v>
      </c>
      <c r="P123" s="5">
        <v>6.1367659999999997</v>
      </c>
      <c r="Q123" s="5">
        <v>5.92</v>
      </c>
      <c r="R123" s="5">
        <v>21.466231999999998</v>
      </c>
      <c r="S123" s="5">
        <v>69.97063399999999</v>
      </c>
      <c r="T123" s="6">
        <v>1104.489990234375</v>
      </c>
    </row>
    <row r="124" spans="1:20">
      <c r="A124" s="37">
        <v>40238</v>
      </c>
      <c r="B124" s="5">
        <v>12.818453999999999</v>
      </c>
      <c r="C124" s="5">
        <v>13.916430999999999</v>
      </c>
      <c r="D124" s="5">
        <v>29.818158999999998</v>
      </c>
      <c r="E124" s="5">
        <v>30.051103999999999</v>
      </c>
      <c r="F124" s="5">
        <v>31.354089999999999</v>
      </c>
      <c r="G124" s="5">
        <v>12.68723</v>
      </c>
      <c r="H124" s="5">
        <v>43.930965</v>
      </c>
      <c r="I124" s="5">
        <v>40.053947000000001</v>
      </c>
      <c r="J124" s="5">
        <v>38.887611</v>
      </c>
      <c r="K124" s="5">
        <v>8.5553419999999996</v>
      </c>
      <c r="L124" s="5">
        <v>32.969001999999996</v>
      </c>
      <c r="M124" s="5">
        <v>9.8887739999999997</v>
      </c>
      <c r="N124" s="5">
        <v>20.569001999999998</v>
      </c>
      <c r="O124" s="5">
        <v>20.211991999999999</v>
      </c>
      <c r="P124" s="5">
        <v>7.0478959999999997</v>
      </c>
      <c r="Q124" s="5">
        <v>6.7885</v>
      </c>
      <c r="R124" s="5">
        <v>22.033002999999997</v>
      </c>
      <c r="S124" s="5">
        <v>70.886039999999994</v>
      </c>
      <c r="T124" s="6">
        <v>1169.430053710938</v>
      </c>
    </row>
    <row r="125" spans="1:20">
      <c r="A125" s="37">
        <v>40269</v>
      </c>
      <c r="B125" s="5">
        <v>12.034613999999999</v>
      </c>
      <c r="C125" s="5">
        <v>13.909288</v>
      </c>
      <c r="D125" s="5">
        <v>28.372243999999998</v>
      </c>
      <c r="E125" s="5">
        <v>32.425522000000001</v>
      </c>
      <c r="F125" s="5">
        <v>32.020420000000001</v>
      </c>
      <c r="G125" s="5">
        <v>13.552914999999999</v>
      </c>
      <c r="H125" s="5">
        <v>44.402232999999995</v>
      </c>
      <c r="I125" s="5">
        <v>39.351245999999996</v>
      </c>
      <c r="J125" s="5">
        <v>42.342380999999996</v>
      </c>
      <c r="K125" s="5">
        <v>8.3408370000000005</v>
      </c>
      <c r="L125" s="5">
        <v>37.013022999999997</v>
      </c>
      <c r="M125" s="5">
        <v>8.8137109999999996</v>
      </c>
      <c r="N125" s="5">
        <v>21.884305999999999</v>
      </c>
      <c r="O125" s="5">
        <v>20.179478</v>
      </c>
      <c r="P125" s="5">
        <v>7.8303599999999998</v>
      </c>
      <c r="Q125" s="5">
        <v>6.8549999999999995</v>
      </c>
      <c r="R125" s="5">
        <v>22.973285999999998</v>
      </c>
      <c r="S125" s="5">
        <v>71.300583000000003</v>
      </c>
      <c r="T125" s="6">
        <v>1186.68994140625</v>
      </c>
    </row>
    <row r="126" spans="1:20">
      <c r="A126" s="37">
        <v>40299</v>
      </c>
      <c r="B126" s="5">
        <v>10.384419999999999</v>
      </c>
      <c r="C126" s="5">
        <v>12.278867999999999</v>
      </c>
      <c r="D126" s="5">
        <v>26.402756</v>
      </c>
      <c r="E126" s="5">
        <v>29.383312</v>
      </c>
      <c r="F126" s="5">
        <v>30.723685999999997</v>
      </c>
      <c r="G126" s="5">
        <v>12.97458</v>
      </c>
      <c r="H126" s="5">
        <v>42.813777999999999</v>
      </c>
      <c r="I126" s="5">
        <v>38.971530999999999</v>
      </c>
      <c r="J126" s="5">
        <v>38.009360999999998</v>
      </c>
      <c r="K126" s="5">
        <v>7.5975459999999995</v>
      </c>
      <c r="L126" s="5">
        <v>31.997174999999999</v>
      </c>
      <c r="M126" s="5">
        <v>8.245082</v>
      </c>
      <c r="N126" s="5">
        <v>18.962872999999998</v>
      </c>
      <c r="O126" s="5">
        <v>18.706866999999999</v>
      </c>
      <c r="P126" s="5">
        <v>7.7041009999999996</v>
      </c>
      <c r="Q126" s="5">
        <v>6.2729999999999997</v>
      </c>
      <c r="R126" s="5">
        <v>19.407693999999999</v>
      </c>
      <c r="S126" s="5">
        <v>69.233413999999996</v>
      </c>
      <c r="T126" s="6">
        <v>1089.410034179688</v>
      </c>
    </row>
    <row r="127" spans="1:20">
      <c r="A127" s="37">
        <v>40330</v>
      </c>
      <c r="B127" s="5">
        <v>9.393908999999999</v>
      </c>
      <c r="C127" s="5">
        <v>11.210125</v>
      </c>
      <c r="D127" s="5">
        <v>24.421543</v>
      </c>
      <c r="E127" s="5">
        <v>27.899312999999999</v>
      </c>
      <c r="F127" s="5">
        <v>28.347472999999997</v>
      </c>
      <c r="G127" s="5">
        <v>10.456773999999999</v>
      </c>
      <c r="H127" s="5">
        <v>41.329253999999999</v>
      </c>
      <c r="I127" s="5">
        <v>38.263404999999999</v>
      </c>
      <c r="J127" s="5">
        <v>34.619040999999996</v>
      </c>
      <c r="K127" s="5">
        <v>7.1886199999999993</v>
      </c>
      <c r="L127" s="5">
        <v>31.860733</v>
      </c>
      <c r="M127" s="5">
        <v>7.6853400000000001</v>
      </c>
      <c r="N127" s="5">
        <v>16.946237999999997</v>
      </c>
      <c r="O127" s="5">
        <v>17.734234000000001</v>
      </c>
      <c r="P127" s="5">
        <v>7.5436439999999996</v>
      </c>
      <c r="Q127" s="5">
        <v>5.4630000000000001</v>
      </c>
      <c r="R127" s="5">
        <v>17.387053999999999</v>
      </c>
      <c r="S127" s="5">
        <v>68.599425999999994</v>
      </c>
      <c r="T127" s="6">
        <v>1030.7099609375</v>
      </c>
    </row>
    <row r="128" spans="1:20">
      <c r="A128" s="37">
        <v>40360</v>
      </c>
      <c r="B128" s="5">
        <v>12.338004999999999</v>
      </c>
      <c r="C128" s="5">
        <v>10.959787</v>
      </c>
      <c r="D128" s="5">
        <v>26.869695999999998</v>
      </c>
      <c r="E128" s="5">
        <v>30.422117</v>
      </c>
      <c r="F128" s="5">
        <v>31.888297999999999</v>
      </c>
      <c r="G128" s="5">
        <v>10.920506999999999</v>
      </c>
      <c r="H128" s="5">
        <v>49.743957999999999</v>
      </c>
      <c r="I128" s="5">
        <v>39.016162999999999</v>
      </c>
      <c r="J128" s="5">
        <v>39.758465000000001</v>
      </c>
      <c r="K128" s="5">
        <v>7.5616629999999994</v>
      </c>
      <c r="L128" s="5">
        <v>35.986834999999999</v>
      </c>
      <c r="M128" s="5">
        <v>7.7653039999999995</v>
      </c>
      <c r="N128" s="5">
        <v>18.356214999999999</v>
      </c>
      <c r="O128" s="5">
        <v>19.450005000000001</v>
      </c>
      <c r="P128" s="5">
        <v>7.7151959999999997</v>
      </c>
      <c r="Q128" s="5">
        <v>5.8944999999999999</v>
      </c>
      <c r="R128" s="5">
        <v>19.502824999999998</v>
      </c>
      <c r="S128" s="5">
        <v>71.332725999999994</v>
      </c>
      <c r="T128" s="6">
        <v>1101.599975585938</v>
      </c>
    </row>
    <row r="129" spans="1:20">
      <c r="A129" s="37">
        <v>40391</v>
      </c>
      <c r="B129" s="5">
        <v>10.954633999999999</v>
      </c>
      <c r="C129" s="5">
        <v>9.7264239999999997</v>
      </c>
      <c r="D129" s="5">
        <v>24.287945000000001</v>
      </c>
      <c r="E129" s="5">
        <v>27.528310999999999</v>
      </c>
      <c r="F129" s="5">
        <v>29.163432999999998</v>
      </c>
      <c r="G129" s="5">
        <v>11.365523999999999</v>
      </c>
      <c r="H129" s="5">
        <v>47.200061999999996</v>
      </c>
      <c r="I129" s="5">
        <v>38.363563999999997</v>
      </c>
      <c r="J129" s="5">
        <v>36.75705</v>
      </c>
      <c r="K129" s="5">
        <v>8.0204070000000005</v>
      </c>
      <c r="L129" s="5">
        <v>32.141483000000001</v>
      </c>
      <c r="M129" s="5">
        <v>6.3792779999999993</v>
      </c>
      <c r="N129" s="5">
        <v>15.589212</v>
      </c>
      <c r="O129" s="5">
        <v>18.611453999999998</v>
      </c>
      <c r="P129" s="5">
        <v>7.2908249999999999</v>
      </c>
      <c r="Q129" s="5">
        <v>6.2414999999999994</v>
      </c>
      <c r="R129" s="5">
        <v>17.734652999999998</v>
      </c>
      <c r="S129" s="5">
        <v>68.404952999999992</v>
      </c>
      <c r="T129" s="6">
        <v>1049.329956054688</v>
      </c>
    </row>
    <row r="130" spans="1:20">
      <c r="A130" s="37">
        <v>40422</v>
      </c>
      <c r="B130" s="5">
        <v>11.177415</v>
      </c>
      <c r="C130" s="5">
        <v>10.226011</v>
      </c>
      <c r="D130" s="5">
        <v>25.423514999999998</v>
      </c>
      <c r="E130" s="5">
        <v>29.012294999999998</v>
      </c>
      <c r="F130" s="5">
        <v>30.499593999999998</v>
      </c>
      <c r="G130" s="5">
        <v>13.514495999999999</v>
      </c>
      <c r="H130" s="5">
        <v>52.056579999999997</v>
      </c>
      <c r="I130" s="5">
        <v>38.556449999999998</v>
      </c>
      <c r="J130" s="5">
        <v>41.992385999999996</v>
      </c>
      <c r="K130" s="5">
        <v>8.7519960000000001</v>
      </c>
      <c r="L130" s="5">
        <v>33.882792999999999</v>
      </c>
      <c r="M130" s="5">
        <v>6.8768249999999993</v>
      </c>
      <c r="N130" s="5">
        <v>16.658120999999998</v>
      </c>
      <c r="O130" s="5">
        <v>19.920959</v>
      </c>
      <c r="P130" s="5">
        <v>8.509957</v>
      </c>
      <c r="Q130" s="5">
        <v>7.8529999999999998</v>
      </c>
      <c r="R130" s="5">
        <v>18.604108999999998</v>
      </c>
      <c r="S130" s="5">
        <v>74.89085399999999</v>
      </c>
      <c r="T130" s="6">
        <v>1141.199951171875</v>
      </c>
    </row>
    <row r="131" spans="1:20">
      <c r="A131" s="37">
        <v>40452</v>
      </c>
      <c r="B131" s="5">
        <v>10.46585</v>
      </c>
      <c r="C131" s="5">
        <v>8.9451819999999991</v>
      </c>
      <c r="D131" s="5">
        <v>25.136277999999997</v>
      </c>
      <c r="E131" s="5">
        <v>30.941520999999998</v>
      </c>
      <c r="F131" s="5">
        <v>31.291799999999999</v>
      </c>
      <c r="G131" s="5">
        <v>13.893367</v>
      </c>
      <c r="H131" s="5">
        <v>57.533000999999999</v>
      </c>
      <c r="I131" s="5">
        <v>40.870975000000001</v>
      </c>
      <c r="J131" s="5">
        <v>42.736091999999999</v>
      </c>
      <c r="K131" s="5">
        <v>8.8794269999999997</v>
      </c>
      <c r="L131" s="5">
        <v>33.423279000000001</v>
      </c>
      <c r="M131" s="5">
        <v>6.8146329999999997</v>
      </c>
      <c r="N131" s="5">
        <v>17.281465999999998</v>
      </c>
      <c r="O131" s="5">
        <v>19.904412999999998</v>
      </c>
      <c r="P131" s="5">
        <v>9.0267029999999995</v>
      </c>
      <c r="Q131" s="5">
        <v>8.2614999999999998</v>
      </c>
      <c r="R131" s="5">
        <v>20.260173999999999</v>
      </c>
      <c r="S131" s="5">
        <v>80.172409000000002</v>
      </c>
      <c r="T131" s="6">
        <v>1183.260009765625</v>
      </c>
    </row>
    <row r="132" spans="1:20">
      <c r="A132" s="37">
        <v>40483</v>
      </c>
      <c r="B132" s="5">
        <v>9.5704759999999993</v>
      </c>
      <c r="C132" s="5">
        <v>8.5545580000000001</v>
      </c>
      <c r="D132" s="5">
        <v>25.014876999999998</v>
      </c>
      <c r="E132" s="5">
        <v>31.164117999999998</v>
      </c>
      <c r="F132" s="5">
        <v>31.385596999999997</v>
      </c>
      <c r="G132" s="5">
        <v>15.073160999999999</v>
      </c>
      <c r="H132" s="5">
        <v>55.959804999999996</v>
      </c>
      <c r="I132" s="5">
        <v>39.565505999999999</v>
      </c>
      <c r="J132" s="5">
        <v>41.053412999999999</v>
      </c>
      <c r="K132" s="5">
        <v>8.3085349999999991</v>
      </c>
      <c r="L132" s="5">
        <v>35.006713999999995</v>
      </c>
      <c r="M132" s="5">
        <v>7.9874219999999996</v>
      </c>
      <c r="N132" s="5">
        <v>18.044080999999998</v>
      </c>
      <c r="O132" s="5">
        <v>20.232537999999998</v>
      </c>
      <c r="P132" s="5">
        <v>9.3317099999999993</v>
      </c>
      <c r="Q132" s="5">
        <v>8.77</v>
      </c>
      <c r="R132" s="5">
        <v>19.189050999999999</v>
      </c>
      <c r="S132" s="5">
        <v>78.977637999999999</v>
      </c>
      <c r="T132" s="6">
        <v>1180.550048828125</v>
      </c>
    </row>
    <row r="133" spans="1:20">
      <c r="A133" s="37">
        <v>40513</v>
      </c>
      <c r="B133" s="5">
        <v>9.8323839999999993</v>
      </c>
      <c r="C133" s="5">
        <v>10.421721</v>
      </c>
      <c r="D133" s="5">
        <v>28.372481999999998</v>
      </c>
      <c r="E133" s="5">
        <v>35.096713999999999</v>
      </c>
      <c r="F133" s="5">
        <v>30.755205</v>
      </c>
      <c r="G133" s="5">
        <v>14.850111</v>
      </c>
      <c r="H133" s="5">
        <v>62.215007999999997</v>
      </c>
      <c r="I133" s="5">
        <v>41.677574</v>
      </c>
      <c r="J133" s="5">
        <v>46.115268999999998</v>
      </c>
      <c r="K133" s="5">
        <v>9.0175799999999988</v>
      </c>
      <c r="L133" s="5">
        <v>34.763728999999998</v>
      </c>
      <c r="M133" s="5">
        <v>8.7070919999999994</v>
      </c>
      <c r="N133" s="5">
        <v>20.590392999999999</v>
      </c>
      <c r="O133" s="5">
        <v>20.655055999999998</v>
      </c>
      <c r="P133" s="5">
        <v>9.6739090000000001</v>
      </c>
      <c r="Q133" s="5">
        <v>9</v>
      </c>
      <c r="R133" s="5">
        <v>21.332418000000001</v>
      </c>
      <c r="S133" s="5">
        <v>82.300735000000003</v>
      </c>
      <c r="T133" s="6">
        <v>1257.640014648438</v>
      </c>
    </row>
    <row r="134" spans="1:20">
      <c r="A134" s="37">
        <v>40544</v>
      </c>
      <c r="B134" s="5">
        <v>11.189399999999999</v>
      </c>
      <c r="C134" s="5">
        <v>10.736214</v>
      </c>
      <c r="D134" s="5">
        <v>30.057979999999997</v>
      </c>
      <c r="E134" s="5">
        <v>35.764530000000001</v>
      </c>
      <c r="F134" s="5">
        <v>30.829981</v>
      </c>
      <c r="G134" s="5">
        <v>13.614853</v>
      </c>
      <c r="H134" s="5">
        <v>68.38214099999999</v>
      </c>
      <c r="I134" s="5">
        <v>40.900123999999998</v>
      </c>
      <c r="J134" s="5">
        <v>50.409903999999997</v>
      </c>
      <c r="K134" s="5">
        <v>9.3832310000000003</v>
      </c>
      <c r="L134" s="5">
        <v>35.136310999999999</v>
      </c>
      <c r="M134" s="5">
        <v>8.9825210000000002</v>
      </c>
      <c r="N134" s="5">
        <v>21.540513999999998</v>
      </c>
      <c r="O134" s="5">
        <v>20.816262999999999</v>
      </c>
      <c r="P134" s="5">
        <v>10.176561999999999</v>
      </c>
      <c r="Q134" s="5">
        <v>8.4819999999999993</v>
      </c>
      <c r="R134" s="5">
        <v>21.194844999999997</v>
      </c>
      <c r="S134" s="5">
        <v>90.847099</v>
      </c>
      <c r="T134" s="6">
        <v>1286.119995117188</v>
      </c>
    </row>
    <row r="135" spans="1:20">
      <c r="A135" s="37">
        <v>40575</v>
      </c>
      <c r="B135" s="5">
        <v>12.361899999999999</v>
      </c>
      <c r="C135" s="5">
        <v>11.174104</v>
      </c>
      <c r="D135" s="5">
        <v>31.264325999999997</v>
      </c>
      <c r="E135" s="5">
        <v>34.725738999999997</v>
      </c>
      <c r="F135" s="5">
        <v>34.505626999999997</v>
      </c>
      <c r="G135" s="5">
        <v>14.055935999999999</v>
      </c>
      <c r="H135" s="5">
        <v>67.817939999999993</v>
      </c>
      <c r="I135" s="5">
        <v>41.151119000000001</v>
      </c>
      <c r="J135" s="5">
        <v>52.594710999999997</v>
      </c>
      <c r="K135" s="5">
        <v>9.9085229999999989</v>
      </c>
      <c r="L135" s="5">
        <v>35.435336999999997</v>
      </c>
      <c r="M135" s="5">
        <v>9.240183</v>
      </c>
      <c r="N135" s="5">
        <v>21.434206</v>
      </c>
      <c r="O135" s="5">
        <v>23.459630999999998</v>
      </c>
      <c r="P135" s="5">
        <v>10.593135999999999</v>
      </c>
      <c r="Q135" s="5">
        <v>8.6645000000000003</v>
      </c>
      <c r="R135" s="5">
        <v>20.315864999999999</v>
      </c>
      <c r="S135" s="5">
        <v>90.779815999999997</v>
      </c>
      <c r="T135" s="6">
        <v>1327.219970703125</v>
      </c>
    </row>
    <row r="136" spans="1:20">
      <c r="A136" s="37">
        <v>40603</v>
      </c>
      <c r="B136" s="5">
        <v>10.881330999999999</v>
      </c>
      <c r="C136" s="5">
        <v>10.423428999999999</v>
      </c>
      <c r="D136" s="5">
        <v>30.869249</v>
      </c>
      <c r="E136" s="5">
        <v>32.796531999999999</v>
      </c>
      <c r="F136" s="5">
        <v>35.127307999999999</v>
      </c>
      <c r="G136" s="5">
        <v>14.267664</v>
      </c>
      <c r="H136" s="5">
        <v>72.888306</v>
      </c>
      <c r="I136" s="5">
        <v>40.204738999999996</v>
      </c>
      <c r="J136" s="5">
        <v>53.420361</v>
      </c>
      <c r="K136" s="5">
        <v>10.569557</v>
      </c>
      <c r="L136" s="5">
        <v>36.761009000000001</v>
      </c>
      <c r="M136" s="5">
        <v>8.4138979999999997</v>
      </c>
      <c r="N136" s="5">
        <v>21.10033</v>
      </c>
      <c r="O136" s="5">
        <v>24.82723</v>
      </c>
      <c r="P136" s="5">
        <v>10.452178</v>
      </c>
      <c r="Q136" s="5">
        <v>9.0064999999999991</v>
      </c>
      <c r="R136" s="5">
        <v>19.521014999999998</v>
      </c>
      <c r="S136" s="5">
        <v>91.809218999999999</v>
      </c>
      <c r="T136" s="6">
        <v>1325.829956054688</v>
      </c>
    </row>
    <row r="137" spans="1:20">
      <c r="A137" s="37">
        <v>40634</v>
      </c>
      <c r="B137" s="5">
        <v>11.427199</v>
      </c>
      <c r="C137" s="5">
        <v>9.6092759999999995</v>
      </c>
      <c r="D137" s="5">
        <v>30.554544</v>
      </c>
      <c r="E137" s="5">
        <v>34.057929999999999</v>
      </c>
      <c r="F137" s="5">
        <v>35.478667999999999</v>
      </c>
      <c r="G137" s="5">
        <v>14.091678</v>
      </c>
      <c r="H137" s="5">
        <v>73.623390000000001</v>
      </c>
      <c r="I137" s="5">
        <v>42.358547000000002</v>
      </c>
      <c r="J137" s="5">
        <v>50.665675999999998</v>
      </c>
      <c r="K137" s="5">
        <v>10.913026</v>
      </c>
      <c r="L137" s="5">
        <v>39.916595000000001</v>
      </c>
      <c r="M137" s="5">
        <v>7.2233349999999996</v>
      </c>
      <c r="N137" s="5">
        <v>19.413460000000001</v>
      </c>
      <c r="O137" s="5">
        <v>24.277946</v>
      </c>
      <c r="P137" s="5">
        <v>10.500762</v>
      </c>
      <c r="Q137" s="5">
        <v>9.7904999999999998</v>
      </c>
      <c r="R137" s="5">
        <v>19.928501000000001</v>
      </c>
      <c r="S137" s="5">
        <v>96.037391999999997</v>
      </c>
      <c r="T137" s="6">
        <v>1363.609985351562</v>
      </c>
    </row>
    <row r="138" spans="1:20">
      <c r="A138" s="37">
        <v>40664</v>
      </c>
      <c r="B138" s="5">
        <v>11.031293999999999</v>
      </c>
      <c r="C138" s="5">
        <v>9.194545999999999</v>
      </c>
      <c r="D138" s="5">
        <v>29.111186999999997</v>
      </c>
      <c r="E138" s="5">
        <v>30.533418999999999</v>
      </c>
      <c r="F138" s="5">
        <v>34.961224000000001</v>
      </c>
      <c r="G138" s="5">
        <v>17.020813</v>
      </c>
      <c r="H138" s="5">
        <v>65.000022999999999</v>
      </c>
      <c r="I138" s="5">
        <v>44.091839</v>
      </c>
      <c r="J138" s="5">
        <v>51.52346</v>
      </c>
      <c r="K138" s="5">
        <v>11.162827</v>
      </c>
      <c r="L138" s="5">
        <v>42.133057000000001</v>
      </c>
      <c r="M138" s="5">
        <v>7.1256009999999996</v>
      </c>
      <c r="N138" s="5">
        <v>18.919951999999999</v>
      </c>
      <c r="O138" s="5">
        <v>24.327636999999999</v>
      </c>
      <c r="P138" s="5">
        <v>10.431785</v>
      </c>
      <c r="Q138" s="5">
        <v>9.8345000000000002</v>
      </c>
      <c r="R138" s="5">
        <v>19.228854999999999</v>
      </c>
      <c r="S138" s="5">
        <v>95.108420999999993</v>
      </c>
      <c r="T138" s="6">
        <v>1345.199951171875</v>
      </c>
    </row>
    <row r="139" spans="1:20">
      <c r="A139" s="37">
        <v>40695</v>
      </c>
      <c r="B139" s="5">
        <v>9.8902319999999992</v>
      </c>
      <c r="C139" s="5">
        <v>8.5763569999999998</v>
      </c>
      <c r="D139" s="5">
        <v>27.562714</v>
      </c>
      <c r="E139" s="5">
        <v>30.904626999999998</v>
      </c>
      <c r="F139" s="5">
        <v>34.737124999999999</v>
      </c>
      <c r="G139" s="5">
        <v>17.232979</v>
      </c>
      <c r="H139" s="5">
        <v>62.258956999999995</v>
      </c>
      <c r="I139" s="5">
        <v>41.834582999999995</v>
      </c>
      <c r="J139" s="5">
        <v>50.527308999999995</v>
      </c>
      <c r="K139" s="5">
        <v>10.824252999999999</v>
      </c>
      <c r="L139" s="5">
        <v>42.214740999999997</v>
      </c>
      <c r="M139" s="5">
        <v>7.7475359999999993</v>
      </c>
      <c r="N139" s="5">
        <v>18.789622999999999</v>
      </c>
      <c r="O139" s="5">
        <v>23.977435999999997</v>
      </c>
      <c r="P139" s="5">
        <v>10.06709</v>
      </c>
      <c r="Q139" s="5">
        <v>10.224499999999999</v>
      </c>
      <c r="R139" s="5">
        <v>20.121040000000001</v>
      </c>
      <c r="S139" s="5">
        <v>97.015411</v>
      </c>
      <c r="T139" s="6">
        <v>1320.640014648438</v>
      </c>
    </row>
    <row r="140" spans="1:20">
      <c r="A140" s="37">
        <v>40725</v>
      </c>
      <c r="B140" s="5">
        <v>8.764564</v>
      </c>
      <c r="C140" s="5">
        <v>7.6046889999999996</v>
      </c>
      <c r="D140" s="5">
        <v>27.232823999999997</v>
      </c>
      <c r="E140" s="5">
        <v>28.455407999999998</v>
      </c>
      <c r="F140" s="5">
        <v>34.349025999999995</v>
      </c>
      <c r="G140" s="5">
        <v>17.077635000000001</v>
      </c>
      <c r="H140" s="5">
        <v>59.586577999999996</v>
      </c>
      <c r="I140" s="5">
        <v>40.465770999999997</v>
      </c>
      <c r="J140" s="5">
        <v>46.123241</v>
      </c>
      <c r="K140" s="5">
        <v>10.114901999999999</v>
      </c>
      <c r="L140" s="5">
        <v>41.007449999999999</v>
      </c>
      <c r="M140" s="5">
        <v>7.6231469999999995</v>
      </c>
      <c r="N140" s="5">
        <v>18.709263</v>
      </c>
      <c r="O140" s="5">
        <v>22.556861999999999</v>
      </c>
      <c r="P140" s="5">
        <v>11.710903999999999</v>
      </c>
      <c r="Q140" s="5">
        <v>11.125999999999999</v>
      </c>
      <c r="R140" s="5">
        <v>21.204484999999998</v>
      </c>
      <c r="S140" s="5">
        <v>102.84030199999999</v>
      </c>
      <c r="T140" s="6">
        <v>1292.280029296875</v>
      </c>
    </row>
    <row r="141" spans="1:20">
      <c r="A141" s="37">
        <v>40756</v>
      </c>
      <c r="B141" s="5">
        <v>6.7239119999999994</v>
      </c>
      <c r="C141" s="5">
        <v>6.3985899999999996</v>
      </c>
      <c r="D141" s="5">
        <v>25.442505000000001</v>
      </c>
      <c r="E141" s="5">
        <v>23.050898</v>
      </c>
      <c r="F141" s="5">
        <v>34.515709000000001</v>
      </c>
      <c r="G141" s="5">
        <v>15.350351</v>
      </c>
      <c r="H141" s="5">
        <v>61.339793999999998</v>
      </c>
      <c r="I141" s="5">
        <v>42.25029</v>
      </c>
      <c r="J141" s="5">
        <v>43.465388999999995</v>
      </c>
      <c r="K141" s="5">
        <v>9.9730279999999993</v>
      </c>
      <c r="L141" s="5">
        <v>40.737006999999998</v>
      </c>
      <c r="M141" s="5">
        <v>7.2677589999999999</v>
      </c>
      <c r="N141" s="5">
        <v>17.477157999999999</v>
      </c>
      <c r="O141" s="5">
        <v>22.449392</v>
      </c>
      <c r="P141" s="5">
        <v>11.541456</v>
      </c>
      <c r="Q141" s="5">
        <v>10.7615</v>
      </c>
      <c r="R141" s="5">
        <v>20.585374999999999</v>
      </c>
      <c r="S141" s="5">
        <v>97.219016999999994</v>
      </c>
      <c r="T141" s="6">
        <v>1218.890014648438</v>
      </c>
    </row>
    <row r="142" spans="1:20">
      <c r="A142" s="37">
        <v>40787</v>
      </c>
      <c r="B142" s="5">
        <v>5.919168</v>
      </c>
      <c r="C142" s="5">
        <v>4.7989790000000001</v>
      </c>
      <c r="D142" s="5">
        <v>20.402781999999998</v>
      </c>
      <c r="E142" s="5">
        <v>19.019774999999999</v>
      </c>
      <c r="F142" s="5">
        <v>30.882770999999998</v>
      </c>
      <c r="G142" s="5">
        <v>15.569218999999999</v>
      </c>
      <c r="H142" s="5">
        <v>49.00658</v>
      </c>
      <c r="I142" s="5">
        <v>41.918544999999995</v>
      </c>
      <c r="J142" s="5">
        <v>34.661902999999995</v>
      </c>
      <c r="K142" s="5">
        <v>9.3935110000000002</v>
      </c>
      <c r="L142" s="5">
        <v>36.795254</v>
      </c>
      <c r="M142" s="5">
        <v>5.1620609999999996</v>
      </c>
      <c r="N142" s="5">
        <v>16.222930999999999</v>
      </c>
      <c r="O142" s="5">
        <v>20.200188000000001</v>
      </c>
      <c r="P142" s="5">
        <v>11.436183</v>
      </c>
      <c r="Q142" s="5">
        <v>10.811499999999999</v>
      </c>
      <c r="R142" s="5">
        <v>19.383606</v>
      </c>
      <c r="S142" s="5">
        <v>99.323600999999996</v>
      </c>
      <c r="T142" s="6">
        <v>1131.420043945312</v>
      </c>
    </row>
    <row r="143" spans="1:20">
      <c r="A143" s="37">
        <v>40817</v>
      </c>
      <c r="B143" s="5">
        <v>7.5714499999999996</v>
      </c>
      <c r="C143" s="5">
        <v>5.355721</v>
      </c>
      <c r="D143" s="5">
        <v>23.545829999999999</v>
      </c>
      <c r="E143" s="5">
        <v>23.451788000000001</v>
      </c>
      <c r="F143" s="5">
        <v>32.718586000000002</v>
      </c>
      <c r="G143" s="5">
        <v>18.130157000000001</v>
      </c>
      <c r="H143" s="5">
        <v>57.947635999999996</v>
      </c>
      <c r="I143" s="5">
        <v>42.455970999999998</v>
      </c>
      <c r="J143" s="5">
        <v>45.074573999999998</v>
      </c>
      <c r="K143" s="5">
        <v>10.232973999999999</v>
      </c>
      <c r="L143" s="5">
        <v>41.482757999999997</v>
      </c>
      <c r="M143" s="5">
        <v>6.7702099999999996</v>
      </c>
      <c r="N143" s="5">
        <v>17.426873999999998</v>
      </c>
      <c r="O143" s="5">
        <v>21.432988999999999</v>
      </c>
      <c r="P143" s="5">
        <v>12.139775999999999</v>
      </c>
      <c r="Q143" s="5">
        <v>10.6755</v>
      </c>
      <c r="R143" s="5">
        <v>20.738664999999997</v>
      </c>
      <c r="S143" s="5">
        <v>104.86717999999999</v>
      </c>
      <c r="T143" s="6">
        <v>1253.300048828125</v>
      </c>
    </row>
    <row r="144" spans="1:20">
      <c r="A144" s="37">
        <v>40848</v>
      </c>
      <c r="B144" s="5">
        <v>7.0509519999999997</v>
      </c>
      <c r="C144" s="5">
        <v>4.2657590000000001</v>
      </c>
      <c r="D144" s="5">
        <v>21.163218999999998</v>
      </c>
      <c r="E144" s="5">
        <v>20.400603999999998</v>
      </c>
      <c r="F144" s="5">
        <v>32.808292000000002</v>
      </c>
      <c r="G144" s="5">
        <v>19.199079999999999</v>
      </c>
      <c r="H144" s="5">
        <v>60.505271999999998</v>
      </c>
      <c r="I144" s="5">
        <v>43.190052000000001</v>
      </c>
      <c r="J144" s="5">
        <v>46.189971999999997</v>
      </c>
      <c r="K144" s="5">
        <v>10.663335999999999</v>
      </c>
      <c r="L144" s="5">
        <v>39.532306999999996</v>
      </c>
      <c r="M144" s="5">
        <v>6.4681259999999998</v>
      </c>
      <c r="N144" s="5">
        <v>17.393243999999999</v>
      </c>
      <c r="O144" s="5">
        <v>20.375757</v>
      </c>
      <c r="P144" s="5">
        <v>11.462577999999999</v>
      </c>
      <c r="Q144" s="5">
        <v>9.6144999999999996</v>
      </c>
      <c r="R144" s="5">
        <v>19.920953999999998</v>
      </c>
      <c r="S144" s="5">
        <v>106.78125799999999</v>
      </c>
      <c r="T144" s="6">
        <v>1246.9599609375</v>
      </c>
    </row>
    <row r="145" spans="1:20">
      <c r="A145" s="37">
        <v>40878</v>
      </c>
      <c r="B145" s="5">
        <v>6.6878009999999994</v>
      </c>
      <c r="C145" s="5">
        <v>4.3684539999999998</v>
      </c>
      <c r="D145" s="5">
        <v>22.721250999999999</v>
      </c>
      <c r="E145" s="5">
        <v>19.53857</v>
      </c>
      <c r="F145" s="5">
        <v>30.660221</v>
      </c>
      <c r="G145" s="5">
        <v>19.110002999999999</v>
      </c>
      <c r="H145" s="5">
        <v>59.054676000000001</v>
      </c>
      <c r="I145" s="5">
        <v>44.621471</v>
      </c>
      <c r="J145" s="5">
        <v>48.034247999999998</v>
      </c>
      <c r="K145" s="5">
        <v>11.613211</v>
      </c>
      <c r="L145" s="5">
        <v>38.816386999999999</v>
      </c>
      <c r="M145" s="5">
        <v>6.8679419999999993</v>
      </c>
      <c r="N145" s="5">
        <v>18.626891999999998</v>
      </c>
      <c r="O145" s="5">
        <v>21.496404999999999</v>
      </c>
      <c r="P145" s="5">
        <v>12.146374</v>
      </c>
      <c r="Q145" s="5">
        <v>8.6549999999999994</v>
      </c>
      <c r="R145" s="5">
        <v>20.369125</v>
      </c>
      <c r="S145" s="5">
        <v>104.861031</v>
      </c>
      <c r="T145" s="6">
        <v>1257.599975585938</v>
      </c>
    </row>
    <row r="146" spans="1:20">
      <c r="A146" s="37">
        <v>40909</v>
      </c>
      <c r="B146" s="5">
        <v>8.2334800000000001</v>
      </c>
      <c r="C146" s="5">
        <v>5.6019939999999995</v>
      </c>
      <c r="D146" s="5">
        <v>25.488795999999997</v>
      </c>
      <c r="E146" s="5">
        <v>22.813561999999997</v>
      </c>
      <c r="F146" s="5">
        <v>32.511803</v>
      </c>
      <c r="G146" s="5">
        <v>20.068612999999999</v>
      </c>
      <c r="H146" s="5">
        <v>66.118842999999998</v>
      </c>
      <c r="I146" s="5">
        <v>42.166663999999997</v>
      </c>
      <c r="J146" s="5">
        <v>49.867515999999995</v>
      </c>
      <c r="K146" s="5">
        <v>11.484413999999999</v>
      </c>
      <c r="L146" s="5">
        <v>41.260387000000001</v>
      </c>
      <c r="M146" s="5">
        <v>6.619167</v>
      </c>
      <c r="N146" s="5">
        <v>19.742063999999999</v>
      </c>
      <c r="O146" s="5">
        <v>22.160180999999998</v>
      </c>
      <c r="P146" s="5">
        <v>13.69031</v>
      </c>
      <c r="Q146" s="5">
        <v>9.7219999999999995</v>
      </c>
      <c r="R146" s="5">
        <v>23.170271</v>
      </c>
      <c r="S146" s="5">
        <v>109.83370199999999</v>
      </c>
      <c r="T146" s="6">
        <v>1312.410034179688</v>
      </c>
    </row>
    <row r="147" spans="1:20">
      <c r="A147" s="37">
        <v>40940</v>
      </c>
      <c r="B147" s="5">
        <v>9.4748919999999988</v>
      </c>
      <c r="C147" s="5">
        <v>6.2619759999999998</v>
      </c>
      <c r="D147" s="5">
        <v>27.007518999999998</v>
      </c>
      <c r="E147" s="5">
        <v>24.744388999999998</v>
      </c>
      <c r="F147" s="5">
        <v>33.178345</v>
      </c>
      <c r="G147" s="5">
        <v>22.618147</v>
      </c>
      <c r="H147" s="5">
        <v>63.647510999999994</v>
      </c>
      <c r="I147" s="5">
        <v>45.591403999999997</v>
      </c>
      <c r="J147" s="5">
        <v>54.571456999999995</v>
      </c>
      <c r="K147" s="5">
        <v>11.339518</v>
      </c>
      <c r="L147" s="5">
        <v>43.685897999999995</v>
      </c>
      <c r="M147" s="5">
        <v>5.8550769999999996</v>
      </c>
      <c r="N147" s="5">
        <v>21.147866999999998</v>
      </c>
      <c r="O147" s="5">
        <v>23.634910999999999</v>
      </c>
      <c r="P147" s="5">
        <v>16.268340999999999</v>
      </c>
      <c r="Q147" s="5">
        <v>8.9844999999999988</v>
      </c>
      <c r="R147" s="5">
        <v>24.904305999999998</v>
      </c>
      <c r="S147" s="5">
        <v>112.188965</v>
      </c>
      <c r="T147" s="6">
        <v>1365.680053710938</v>
      </c>
    </row>
    <row r="148" spans="1:20">
      <c r="A148" s="37">
        <v>40969</v>
      </c>
      <c r="B148" s="5">
        <v>9.3323</v>
      </c>
      <c r="C148" s="5">
        <v>7.5283579999999999</v>
      </c>
      <c r="D148" s="5">
        <v>31.646419999999999</v>
      </c>
      <c r="E148" s="5">
        <v>27.151678</v>
      </c>
      <c r="F148" s="5">
        <v>33.636890000000001</v>
      </c>
      <c r="G148" s="5">
        <v>23.666551999999999</v>
      </c>
      <c r="H148" s="5">
        <v>62.089549999999996</v>
      </c>
      <c r="I148" s="5">
        <v>45.314959999999999</v>
      </c>
      <c r="J148" s="5">
        <v>54.685176999999996</v>
      </c>
      <c r="K148" s="5">
        <v>12.281490999999999</v>
      </c>
      <c r="L148" s="5">
        <v>47.790996999999997</v>
      </c>
      <c r="M148" s="5">
        <v>6.0327739999999999</v>
      </c>
      <c r="N148" s="5">
        <v>23.169274999999999</v>
      </c>
      <c r="O148" s="5">
        <v>24.629363999999999</v>
      </c>
      <c r="P148" s="5">
        <v>17.981133</v>
      </c>
      <c r="Q148" s="5">
        <v>10.125499999999999</v>
      </c>
      <c r="R148" s="5">
        <v>25.478957999999999</v>
      </c>
      <c r="S148" s="5">
        <v>119.44989799999999</v>
      </c>
      <c r="T148" s="6">
        <v>1408.469970703125</v>
      </c>
    </row>
    <row r="149" spans="1:20">
      <c r="A149" s="37">
        <v>41000</v>
      </c>
      <c r="B149" s="5">
        <v>8.7717479999999988</v>
      </c>
      <c r="C149" s="5">
        <v>6.3798300000000001</v>
      </c>
      <c r="D149" s="5">
        <v>29.581616999999998</v>
      </c>
      <c r="E149" s="5">
        <v>24.544225999999998</v>
      </c>
      <c r="F149" s="5">
        <v>33.608578000000001</v>
      </c>
      <c r="G149" s="5">
        <v>24.559078</v>
      </c>
      <c r="H149" s="5">
        <v>63.564902999999994</v>
      </c>
      <c r="I149" s="5">
        <v>42.907955000000001</v>
      </c>
      <c r="J149" s="5">
        <v>52.266692999999997</v>
      </c>
      <c r="K149" s="5">
        <v>12.41705</v>
      </c>
      <c r="L149" s="5">
        <v>49.732033000000001</v>
      </c>
      <c r="M149" s="5">
        <v>5.6063019999999995</v>
      </c>
      <c r="N149" s="5">
        <v>22.747512999999998</v>
      </c>
      <c r="O149" s="5">
        <v>24.484406999999997</v>
      </c>
      <c r="P149" s="5">
        <v>17.514174999999998</v>
      </c>
      <c r="Q149" s="5">
        <v>11.594999999999999</v>
      </c>
      <c r="R149" s="5">
        <v>25.289403999999998</v>
      </c>
      <c r="S149" s="5">
        <v>118.55109399999999</v>
      </c>
      <c r="T149" s="6">
        <v>1397.910034179688</v>
      </c>
    </row>
    <row r="150" spans="1:20">
      <c r="A150" s="37">
        <v>41030</v>
      </c>
      <c r="B150" s="5">
        <v>6.8067289999999998</v>
      </c>
      <c r="C150" s="5">
        <v>5.7819669999999999</v>
      </c>
      <c r="D150" s="5">
        <v>22.965336000000001</v>
      </c>
      <c r="E150" s="5">
        <v>19.693324999999998</v>
      </c>
      <c r="F150" s="5">
        <v>30.582599999999999</v>
      </c>
      <c r="G150" s="5">
        <v>22.780912000000001</v>
      </c>
      <c r="H150" s="5">
        <v>57.012394</v>
      </c>
      <c r="I150" s="5">
        <v>42.353020000000001</v>
      </c>
      <c r="J150" s="5">
        <v>47.330073999999996</v>
      </c>
      <c r="K150" s="5">
        <v>11.858552999999999</v>
      </c>
      <c r="L150" s="5">
        <v>46.273803999999998</v>
      </c>
      <c r="M150" s="5">
        <v>5.9083860000000001</v>
      </c>
      <c r="N150" s="5">
        <v>21.815011999999999</v>
      </c>
      <c r="O150" s="5">
        <v>22.332122999999999</v>
      </c>
      <c r="P150" s="5">
        <v>17.326725</v>
      </c>
      <c r="Q150" s="5">
        <v>10.6455</v>
      </c>
      <c r="R150" s="5">
        <v>23.054275999999998</v>
      </c>
      <c r="S150" s="5">
        <v>110.43319699999999</v>
      </c>
      <c r="T150" s="6">
        <v>1310.329956054688</v>
      </c>
    </row>
    <row r="151" spans="1:20">
      <c r="A151" s="37">
        <v>41061</v>
      </c>
      <c r="B151" s="5">
        <v>6.3731469999999995</v>
      </c>
      <c r="C151" s="5">
        <v>6.4435589999999996</v>
      </c>
      <c r="D151" s="5">
        <v>24.752683999999999</v>
      </c>
      <c r="E151" s="5">
        <v>20.368131999999999</v>
      </c>
      <c r="F151" s="5">
        <v>31.659699999999997</v>
      </c>
      <c r="G151" s="5">
        <v>20.565683</v>
      </c>
      <c r="H151" s="5">
        <v>62.414943999999998</v>
      </c>
      <c r="I151" s="5">
        <v>41.645882</v>
      </c>
      <c r="J151" s="5">
        <v>45.979827999999998</v>
      </c>
      <c r="K151" s="5">
        <v>12.594861999999999</v>
      </c>
      <c r="L151" s="5">
        <v>48.246426</v>
      </c>
      <c r="M151" s="5">
        <v>6.9301379999999995</v>
      </c>
      <c r="N151" s="5">
        <v>22.908961999999999</v>
      </c>
      <c r="O151" s="5">
        <v>22.876018999999999</v>
      </c>
      <c r="P151" s="5">
        <v>17.514772000000001</v>
      </c>
      <c r="Q151" s="5">
        <v>11.417499999999999</v>
      </c>
      <c r="R151" s="5">
        <v>24.318528999999998</v>
      </c>
      <c r="S151" s="5">
        <v>112.43650099999999</v>
      </c>
      <c r="T151" s="6">
        <v>1362.160034179688</v>
      </c>
    </row>
    <row r="152" spans="1:20">
      <c r="A152" s="37">
        <v>41091</v>
      </c>
      <c r="B152" s="5">
        <v>6.4721469999999997</v>
      </c>
      <c r="C152" s="5">
        <v>5.781873</v>
      </c>
      <c r="D152" s="5">
        <v>24.939722</v>
      </c>
      <c r="E152" s="5">
        <v>20.160062999999997</v>
      </c>
      <c r="F152" s="5">
        <v>32.782638999999996</v>
      </c>
      <c r="G152" s="5">
        <v>21.574638</v>
      </c>
      <c r="H152" s="5">
        <v>59.650219</v>
      </c>
      <c r="I152" s="5">
        <v>43.882874000000001</v>
      </c>
      <c r="J152" s="5">
        <v>48.096961999999998</v>
      </c>
      <c r="K152" s="5">
        <v>13.164372</v>
      </c>
      <c r="L152" s="5">
        <v>47.832000999999998</v>
      </c>
      <c r="M152" s="5">
        <v>6.8857109999999997</v>
      </c>
      <c r="N152" s="5">
        <v>23.162440999999998</v>
      </c>
      <c r="O152" s="5">
        <v>22.978370999999999</v>
      </c>
      <c r="P152" s="5">
        <v>18.317336999999998</v>
      </c>
      <c r="Q152" s="5">
        <v>11.664999999999999</v>
      </c>
      <c r="R152" s="5">
        <v>23.428149999999999</v>
      </c>
      <c r="S152" s="5">
        <v>112.66645799999999</v>
      </c>
      <c r="T152" s="6">
        <v>1379.319946289062</v>
      </c>
    </row>
    <row r="153" spans="1:20">
      <c r="A153" s="37">
        <v>41122</v>
      </c>
      <c r="B153" s="5">
        <v>7.1960859999999993</v>
      </c>
      <c r="C153" s="5">
        <v>6.2938899999999993</v>
      </c>
      <c r="D153" s="5">
        <v>25.944020999999999</v>
      </c>
      <c r="E153" s="5">
        <v>22.077244</v>
      </c>
      <c r="F153" s="5">
        <v>33.922019999999996</v>
      </c>
      <c r="G153" s="5">
        <v>24.265443999999999</v>
      </c>
      <c r="H153" s="5">
        <v>58.322421999999996</v>
      </c>
      <c r="I153" s="5">
        <v>46.080974999999995</v>
      </c>
      <c r="J153" s="5">
        <v>47.298817</v>
      </c>
      <c r="K153" s="5">
        <v>13.065800999999999</v>
      </c>
      <c r="L153" s="5">
        <v>48.485236999999998</v>
      </c>
      <c r="M153" s="5">
        <v>8.1651220000000002</v>
      </c>
      <c r="N153" s="5">
        <v>23.313153999999997</v>
      </c>
      <c r="O153" s="5">
        <v>24.159845000000001</v>
      </c>
      <c r="P153" s="5">
        <v>19.951242000000001</v>
      </c>
      <c r="Q153" s="5">
        <v>12.413499999999999</v>
      </c>
      <c r="R153" s="5">
        <v>24.501365999999997</v>
      </c>
      <c r="S153" s="5">
        <v>112.01683</v>
      </c>
      <c r="T153" s="6">
        <v>1406.579956054688</v>
      </c>
    </row>
    <row r="154" spans="1:20">
      <c r="A154" s="37">
        <v>41153</v>
      </c>
      <c r="B154" s="5">
        <v>8.6309449999999988</v>
      </c>
      <c r="C154" s="5">
        <v>6.9555759999999998</v>
      </c>
      <c r="D154" s="5">
        <v>28.277169999999998</v>
      </c>
      <c r="E154" s="5">
        <v>24.323034</v>
      </c>
      <c r="F154" s="5">
        <v>34.235152999999997</v>
      </c>
      <c r="G154" s="5">
        <v>22.646141</v>
      </c>
      <c r="H154" s="5">
        <v>64.037407000000002</v>
      </c>
      <c r="I154" s="5">
        <v>47.569232999999997</v>
      </c>
      <c r="J154" s="5">
        <v>54.827247999999997</v>
      </c>
      <c r="K154" s="5">
        <v>13.733609999999999</v>
      </c>
      <c r="L154" s="5">
        <v>47.287658999999998</v>
      </c>
      <c r="M154" s="5">
        <v>8.6715549999999997</v>
      </c>
      <c r="N154" s="5">
        <v>23.809936999999998</v>
      </c>
      <c r="O154" s="5">
        <v>24.590630999999998</v>
      </c>
      <c r="P154" s="5">
        <v>20.092929999999999</v>
      </c>
      <c r="Q154" s="5">
        <v>12.715999999999999</v>
      </c>
      <c r="R154" s="5">
        <v>23.81542</v>
      </c>
      <c r="S154" s="5">
        <v>119.76960799999999</v>
      </c>
      <c r="T154" s="6">
        <v>1440.670043945312</v>
      </c>
    </row>
    <row r="155" spans="1:20">
      <c r="A155" s="37">
        <v>41183</v>
      </c>
      <c r="B155" s="5">
        <v>9.2158839999999991</v>
      </c>
      <c r="C155" s="5">
        <v>7.3507449999999999</v>
      </c>
      <c r="D155" s="5">
        <v>29.115418999999999</v>
      </c>
      <c r="E155" s="5">
        <v>27.794559</v>
      </c>
      <c r="F155" s="5">
        <v>34.281531999999999</v>
      </c>
      <c r="G155" s="5">
        <v>23.034327999999999</v>
      </c>
      <c r="H155" s="5">
        <v>66.719475000000003</v>
      </c>
      <c r="I155" s="5">
        <v>47.486922999999997</v>
      </c>
      <c r="J155" s="5">
        <v>50.202933999999999</v>
      </c>
      <c r="K155" s="5">
        <v>13.744664</v>
      </c>
      <c r="L155" s="5">
        <v>46.547497</v>
      </c>
      <c r="M155" s="5">
        <v>7.2677589999999999</v>
      </c>
      <c r="N155" s="5">
        <v>23.230723999999999</v>
      </c>
      <c r="O155" s="5">
        <v>24.000498</v>
      </c>
      <c r="P155" s="5">
        <v>17.930928999999999</v>
      </c>
      <c r="Q155" s="5">
        <v>11.644499999999999</v>
      </c>
      <c r="R155" s="5">
        <v>22.839124999999999</v>
      </c>
      <c r="S155" s="5">
        <v>112.31037099999999</v>
      </c>
      <c r="T155" s="6">
        <v>1412.160034179688</v>
      </c>
    </row>
    <row r="156" spans="1:20">
      <c r="A156" s="37">
        <v>41214</v>
      </c>
      <c r="B156" s="5">
        <v>9.8506009999999993</v>
      </c>
      <c r="C156" s="5">
        <v>7.7766509999999993</v>
      </c>
      <c r="D156" s="5">
        <v>28.908214999999998</v>
      </c>
      <c r="E156" s="5">
        <v>25.698259</v>
      </c>
      <c r="F156" s="5">
        <v>35.233772000000002</v>
      </c>
      <c r="G156" s="5">
        <v>23.415533</v>
      </c>
      <c r="H156" s="5">
        <v>65.634025999999992</v>
      </c>
      <c r="I156" s="5">
        <v>48.284842999999995</v>
      </c>
      <c r="J156" s="5">
        <v>52.093680999999997</v>
      </c>
      <c r="K156" s="5">
        <v>13.827565999999999</v>
      </c>
      <c r="L156" s="5">
        <v>46.652457999999996</v>
      </c>
      <c r="M156" s="5">
        <v>7.2055639999999999</v>
      </c>
      <c r="N156" s="5">
        <v>22.761830999999997</v>
      </c>
      <c r="O156" s="5">
        <v>24.746417999999998</v>
      </c>
      <c r="P156" s="5">
        <v>17.628516999999999</v>
      </c>
      <c r="Q156" s="5">
        <v>12.602499999999999</v>
      </c>
      <c r="R156" s="5">
        <v>21.302634999999999</v>
      </c>
      <c r="S156" s="5">
        <v>109.735451</v>
      </c>
      <c r="T156" s="6">
        <v>1416.180053710938</v>
      </c>
    </row>
    <row r="157" spans="1:20">
      <c r="A157" s="37">
        <v>41244</v>
      </c>
      <c r="B157" s="5">
        <v>10.822163</v>
      </c>
      <c r="C157" s="5">
        <v>9.1568849999999991</v>
      </c>
      <c r="D157" s="5">
        <v>30.941941999999997</v>
      </c>
      <c r="E157" s="5">
        <v>29.415544999999998</v>
      </c>
      <c r="F157" s="5">
        <v>35.979171999999998</v>
      </c>
      <c r="G157" s="5">
        <v>23.609147999999998</v>
      </c>
      <c r="H157" s="5">
        <v>67.48475599999999</v>
      </c>
      <c r="I157" s="5">
        <v>46.943404999999998</v>
      </c>
      <c r="J157" s="5">
        <v>53.586002000000001</v>
      </c>
      <c r="K157" s="5">
        <v>13.985234</v>
      </c>
      <c r="L157" s="5">
        <v>47.971087999999995</v>
      </c>
      <c r="M157" s="5">
        <v>7.5787249999999995</v>
      </c>
      <c r="N157" s="5">
        <v>23.720662999999998</v>
      </c>
      <c r="O157" s="5">
        <v>25.118748</v>
      </c>
      <c r="P157" s="5">
        <v>16.102069999999998</v>
      </c>
      <c r="Q157" s="5">
        <v>12.5435</v>
      </c>
      <c r="R157" s="5">
        <v>21.550297</v>
      </c>
      <c r="S157" s="5">
        <v>111.073883</v>
      </c>
      <c r="T157" s="6">
        <v>1426.18994140625</v>
      </c>
    </row>
    <row r="158" spans="1:20">
      <c r="A158" s="37">
        <v>41275</v>
      </c>
      <c r="B158" s="5">
        <v>11.971857</v>
      </c>
      <c r="C158" s="5">
        <v>8.9371799999999997</v>
      </c>
      <c r="D158" s="5">
        <v>33.109352000000001</v>
      </c>
      <c r="E158" s="5">
        <v>31.34882</v>
      </c>
      <c r="F158" s="5">
        <v>37.106097999999996</v>
      </c>
      <c r="G158" s="5">
        <v>24.029284000000001</v>
      </c>
      <c r="H158" s="5">
        <v>73.843375999999992</v>
      </c>
      <c r="I158" s="5">
        <v>51.970337000000001</v>
      </c>
      <c r="J158" s="5">
        <v>56.050159000000001</v>
      </c>
      <c r="K158" s="5">
        <v>15.212014</v>
      </c>
      <c r="L158" s="5">
        <v>49.081038999999997</v>
      </c>
      <c r="M158" s="5">
        <v>7.8719239999999999</v>
      </c>
      <c r="N158" s="5">
        <v>24.171756999999999</v>
      </c>
      <c r="O158" s="5">
        <v>24.883437999999998</v>
      </c>
      <c r="P158" s="5">
        <v>13.781931999999999</v>
      </c>
      <c r="Q158" s="5">
        <v>13.274999999999999</v>
      </c>
      <c r="R158" s="5">
        <v>22.147347999999997</v>
      </c>
      <c r="S158" s="5">
        <v>117.75396699999999</v>
      </c>
      <c r="T158" s="6">
        <v>1498.109985351562</v>
      </c>
    </row>
    <row r="159" spans="1:20">
      <c r="A159" s="37">
        <v>41306</v>
      </c>
      <c r="B159" s="5">
        <v>11.590703999999999</v>
      </c>
      <c r="C159" s="5">
        <v>8.8661239999999992</v>
      </c>
      <c r="D159" s="5">
        <v>34.661769999999997</v>
      </c>
      <c r="E159" s="5">
        <v>31.214990999999998</v>
      </c>
      <c r="F159" s="5">
        <v>36.941089999999996</v>
      </c>
      <c r="G159" s="5">
        <v>24.996302</v>
      </c>
      <c r="H159" s="5">
        <v>68.952399999999997</v>
      </c>
      <c r="I159" s="5">
        <v>53.102702999999998</v>
      </c>
      <c r="J159" s="5">
        <v>57.414397999999998</v>
      </c>
      <c r="K159" s="5">
        <v>15.395593999999999</v>
      </c>
      <c r="L159" s="5">
        <v>52.049621999999999</v>
      </c>
      <c r="M159" s="5">
        <v>8.5915879999999998</v>
      </c>
      <c r="N159" s="5">
        <v>24.519050999999997</v>
      </c>
      <c r="O159" s="5">
        <v>24.736968999999998</v>
      </c>
      <c r="P159" s="5">
        <v>13.355608999999999</v>
      </c>
      <c r="Q159" s="5">
        <v>13.2135</v>
      </c>
      <c r="R159" s="5">
        <v>22.429741</v>
      </c>
      <c r="S159" s="5">
        <v>116.455063</v>
      </c>
      <c r="T159" s="6">
        <v>1514.680053710938</v>
      </c>
    </row>
    <row r="160" spans="1:20">
      <c r="A160" s="37">
        <v>41334</v>
      </c>
      <c r="B160" s="5">
        <v>11.219318999999999</v>
      </c>
      <c r="C160" s="5">
        <v>9.624803</v>
      </c>
      <c r="D160" s="5">
        <v>33.627280999999996</v>
      </c>
      <c r="E160" s="5">
        <v>32.903286000000001</v>
      </c>
      <c r="F160" s="5">
        <v>37.368510999999998</v>
      </c>
      <c r="G160" s="5">
        <v>25.446355999999998</v>
      </c>
      <c r="H160" s="5">
        <v>67.500045999999998</v>
      </c>
      <c r="I160" s="5">
        <v>53.716102999999997</v>
      </c>
      <c r="J160" s="5">
        <v>59.070442</v>
      </c>
      <c r="K160" s="5">
        <v>16.233711</v>
      </c>
      <c r="L160" s="5">
        <v>56.496651</v>
      </c>
      <c r="M160" s="5">
        <v>8.7070919999999994</v>
      </c>
      <c r="N160" s="5">
        <v>25.854032999999998</v>
      </c>
      <c r="O160" s="5">
        <v>25.031575999999998</v>
      </c>
      <c r="P160" s="5">
        <v>13.471793999999999</v>
      </c>
      <c r="Q160" s="5">
        <v>13.324499999999999</v>
      </c>
      <c r="R160" s="5">
        <v>23.274383999999998</v>
      </c>
      <c r="S160" s="5">
        <v>124.20663499999999</v>
      </c>
      <c r="T160" s="6">
        <v>1569.18994140625</v>
      </c>
    </row>
    <row r="161" spans="1:20">
      <c r="A161" s="37">
        <v>41365</v>
      </c>
      <c r="B161" s="5">
        <v>11.358293999999999</v>
      </c>
      <c r="C161" s="5">
        <v>9.7275279999999995</v>
      </c>
      <c r="D161" s="5">
        <v>34.725539999999995</v>
      </c>
      <c r="E161" s="5">
        <v>34.703144000000002</v>
      </c>
      <c r="F161" s="5">
        <v>37.226047999999999</v>
      </c>
      <c r="G161" s="5">
        <v>27.254807</v>
      </c>
      <c r="H161" s="5">
        <v>70.520415999999997</v>
      </c>
      <c r="I161" s="5">
        <v>53.513968999999996</v>
      </c>
      <c r="J161" s="5">
        <v>54.919196999999997</v>
      </c>
      <c r="K161" s="5">
        <v>16.351831000000001</v>
      </c>
      <c r="L161" s="5">
        <v>57.292271</v>
      </c>
      <c r="M161" s="5">
        <v>7.8719239999999999</v>
      </c>
      <c r="N161" s="5">
        <v>26.545999999999999</v>
      </c>
      <c r="O161" s="5">
        <v>24.61974</v>
      </c>
      <c r="P161" s="5">
        <v>13.475444</v>
      </c>
      <c r="Q161" s="5">
        <v>12.6905</v>
      </c>
      <c r="R161" s="5">
        <v>26.927021</v>
      </c>
      <c r="S161" s="5">
        <v>117.940979</v>
      </c>
      <c r="T161" s="6">
        <v>1597.569946289062</v>
      </c>
    </row>
    <row r="162" spans="1:20">
      <c r="A162" s="37">
        <v>41395</v>
      </c>
      <c r="B162" s="5">
        <v>12.122677999999999</v>
      </c>
      <c r="C162" s="5">
        <v>10.794316999999999</v>
      </c>
      <c r="D162" s="5">
        <v>38.921039999999998</v>
      </c>
      <c r="E162" s="5">
        <v>38.667296999999998</v>
      </c>
      <c r="F162" s="5">
        <v>35.486122000000002</v>
      </c>
      <c r="G162" s="5">
        <v>29.540299999999998</v>
      </c>
      <c r="H162" s="5">
        <v>68.790954999999997</v>
      </c>
      <c r="I162" s="5">
        <v>53.900112</v>
      </c>
      <c r="J162" s="5">
        <v>58.156680999999999</v>
      </c>
      <c r="K162" s="5">
        <v>15.316839999999999</v>
      </c>
      <c r="L162" s="5">
        <v>63.593944999999998</v>
      </c>
      <c r="M162" s="5">
        <v>9.3912209999999998</v>
      </c>
      <c r="N162" s="5">
        <v>28.342288999999997</v>
      </c>
      <c r="O162" s="5">
        <v>24.538670999999997</v>
      </c>
      <c r="P162" s="5">
        <v>13.686961</v>
      </c>
      <c r="Q162" s="5">
        <v>13.459999999999999</v>
      </c>
      <c r="R162" s="5">
        <v>28.391334999999998</v>
      </c>
      <c r="S162" s="5">
        <v>121.13202699999999</v>
      </c>
      <c r="T162" s="6">
        <v>1630.739990234375</v>
      </c>
    </row>
    <row r="163" spans="1:20">
      <c r="A163" s="37">
        <v>41426</v>
      </c>
      <c r="B163" s="5">
        <v>10.852440999999999</v>
      </c>
      <c r="C163" s="5">
        <v>10.162148999999999</v>
      </c>
      <c r="D163" s="5">
        <v>37.637679999999996</v>
      </c>
      <c r="E163" s="5">
        <v>35.685229999999997</v>
      </c>
      <c r="F163" s="5">
        <v>34.855441999999996</v>
      </c>
      <c r="G163" s="5">
        <v>29.332536999999999</v>
      </c>
      <c r="H163" s="5">
        <v>64.163337999999996</v>
      </c>
      <c r="I163" s="5">
        <v>54.061619</v>
      </c>
      <c r="J163" s="5">
        <v>56.747169</v>
      </c>
      <c r="K163" s="5">
        <v>15.88693</v>
      </c>
      <c r="L163" s="5">
        <v>62.795970999999994</v>
      </c>
      <c r="M163" s="5">
        <v>9.8265789999999988</v>
      </c>
      <c r="N163" s="5">
        <v>29.072647</v>
      </c>
      <c r="O163" s="5">
        <v>24.392992</v>
      </c>
      <c r="P163" s="5">
        <v>12.147765999999999</v>
      </c>
      <c r="Q163" s="5">
        <v>13.884499999999999</v>
      </c>
      <c r="R163" s="5">
        <v>28.295499999999997</v>
      </c>
      <c r="S163" s="5">
        <v>111.80680799999999</v>
      </c>
      <c r="T163" s="6">
        <v>1606.280029296875</v>
      </c>
    </row>
    <row r="164" spans="1:20">
      <c r="A164" s="37">
        <v>41456</v>
      </c>
      <c r="B164" s="5">
        <v>11.080646999999999</v>
      </c>
      <c r="C164" s="5">
        <v>11.545760999999999</v>
      </c>
      <c r="D164" s="5">
        <v>39.733821999999996</v>
      </c>
      <c r="E164" s="5">
        <v>38.787312</v>
      </c>
      <c r="F164" s="5">
        <v>37.312083999999999</v>
      </c>
      <c r="G164" s="5">
        <v>29.693168999999997</v>
      </c>
      <c r="H164" s="5">
        <v>66.008865</v>
      </c>
      <c r="I164" s="5">
        <v>56.38588</v>
      </c>
      <c r="J164" s="5">
        <v>62.507525999999999</v>
      </c>
      <c r="K164" s="5">
        <v>16.578896999999998</v>
      </c>
      <c r="L164" s="5">
        <v>61.964382000000001</v>
      </c>
      <c r="M164" s="5">
        <v>10.821676999999999</v>
      </c>
      <c r="N164" s="5">
        <v>30.643578999999999</v>
      </c>
      <c r="O164" s="5">
        <v>25.549353</v>
      </c>
      <c r="P164" s="5">
        <v>13.863327</v>
      </c>
      <c r="Q164" s="5">
        <v>15.061</v>
      </c>
      <c r="R164" s="5">
        <v>26.083634999999997</v>
      </c>
      <c r="S164" s="5">
        <v>114.10599499999999</v>
      </c>
      <c r="T164" s="6">
        <v>1685.72998046875</v>
      </c>
    </row>
    <row r="165" spans="1:20">
      <c r="A165" s="37">
        <v>41487</v>
      </c>
      <c r="B165" s="5">
        <v>11.074306999999999</v>
      </c>
      <c r="C165" s="5">
        <v>11.166174999999999</v>
      </c>
      <c r="D165" s="5">
        <v>36.289093000000001</v>
      </c>
      <c r="E165" s="5">
        <v>35.953032999999998</v>
      </c>
      <c r="F165" s="5">
        <v>38.167727999999997</v>
      </c>
      <c r="G165" s="5">
        <v>27.291442999999997</v>
      </c>
      <c r="H165" s="5">
        <v>66.461815000000001</v>
      </c>
      <c r="I165" s="5">
        <v>55.103274999999996</v>
      </c>
      <c r="J165" s="5">
        <v>62.980281999999995</v>
      </c>
      <c r="K165" s="5">
        <v>16.130845999999998</v>
      </c>
      <c r="L165" s="5">
        <v>60.586307999999995</v>
      </c>
      <c r="M165" s="5">
        <v>9.9065409999999989</v>
      </c>
      <c r="N165" s="5">
        <v>28.93881</v>
      </c>
      <c r="O165" s="5">
        <v>26.20834</v>
      </c>
      <c r="P165" s="5">
        <v>14.926060999999999</v>
      </c>
      <c r="Q165" s="5">
        <v>14.048999999999999</v>
      </c>
      <c r="R165" s="5">
        <v>27.361597</v>
      </c>
      <c r="S165" s="5">
        <v>106.63503299999999</v>
      </c>
      <c r="T165" s="6">
        <v>1632.969970703125</v>
      </c>
    </row>
    <row r="166" spans="1:20">
      <c r="A166" s="37">
        <v>41518</v>
      </c>
      <c r="B166" s="5">
        <v>11.761108999999999</v>
      </c>
      <c r="C166" s="5">
        <v>10.913115999999999</v>
      </c>
      <c r="D166" s="5">
        <v>37.122188999999999</v>
      </c>
      <c r="E166" s="5">
        <v>36.093871999999998</v>
      </c>
      <c r="F166" s="5">
        <v>40.591544999999996</v>
      </c>
      <c r="G166" s="5">
        <v>26.578889999999998</v>
      </c>
      <c r="H166" s="5">
        <v>64.673896999999997</v>
      </c>
      <c r="I166" s="5">
        <v>53.476146999999997</v>
      </c>
      <c r="J166" s="5">
        <v>66.902701999999991</v>
      </c>
      <c r="K166" s="5">
        <v>16.428191999999999</v>
      </c>
      <c r="L166" s="5">
        <v>63.627791999999999</v>
      </c>
      <c r="M166" s="5">
        <v>11.16818</v>
      </c>
      <c r="N166" s="5">
        <v>29.307570999999999</v>
      </c>
      <c r="O166" s="5">
        <v>27.575147999999999</v>
      </c>
      <c r="P166" s="5">
        <v>14.701749</v>
      </c>
      <c r="Q166" s="5">
        <v>15.632</v>
      </c>
      <c r="R166" s="5">
        <v>27.455406</v>
      </c>
      <c r="S166" s="5">
        <v>108.879105</v>
      </c>
      <c r="T166" s="6">
        <v>1681.550048828125</v>
      </c>
    </row>
    <row r="167" spans="1:20">
      <c r="A167" s="37">
        <v>41548</v>
      </c>
      <c r="B167" s="5">
        <v>11.602357999999999</v>
      </c>
      <c r="C167" s="5">
        <v>11.055309999999999</v>
      </c>
      <c r="D167" s="5">
        <v>37.014441999999995</v>
      </c>
      <c r="E167" s="5">
        <v>36.294753999999998</v>
      </c>
      <c r="F167" s="5">
        <v>42.341079999999998</v>
      </c>
      <c r="G167" s="5">
        <v>28.483115999999999</v>
      </c>
      <c r="H167" s="5">
        <v>65.425735000000003</v>
      </c>
      <c r="I167" s="5">
        <v>57.126590999999998</v>
      </c>
      <c r="J167" s="5">
        <v>58.763382</v>
      </c>
      <c r="K167" s="5">
        <v>17.548946000000001</v>
      </c>
      <c r="L167" s="5">
        <v>68.91890699999999</v>
      </c>
      <c r="M167" s="5">
        <v>12.287663</v>
      </c>
      <c r="N167" s="5">
        <v>30.279288999999999</v>
      </c>
      <c r="O167" s="5">
        <v>28.108378999999999</v>
      </c>
      <c r="P167" s="5">
        <v>16.118722999999999</v>
      </c>
      <c r="Q167" s="5">
        <v>18.201499999999999</v>
      </c>
      <c r="R167" s="5">
        <v>29.212619999999998</v>
      </c>
      <c r="S167" s="5">
        <v>105.368973</v>
      </c>
      <c r="T167" s="6">
        <v>1756.5400390625</v>
      </c>
    </row>
    <row r="168" spans="1:20">
      <c r="A168" s="37">
        <v>41579</v>
      </c>
      <c r="B168" s="5">
        <v>12.271858</v>
      </c>
      <c r="C168" s="5">
        <v>12.519330999999999</v>
      </c>
      <c r="D168" s="5">
        <v>41.396388999999999</v>
      </c>
      <c r="E168" s="5">
        <v>39.383026000000001</v>
      </c>
      <c r="F168" s="5">
        <v>42.800292999999996</v>
      </c>
      <c r="G168" s="5">
        <v>32.899822</v>
      </c>
      <c r="H168" s="5">
        <v>67.344368000000003</v>
      </c>
      <c r="I168" s="5">
        <v>60.047267999999995</v>
      </c>
      <c r="J168" s="5">
        <v>60.472255999999994</v>
      </c>
      <c r="K168" s="5">
        <v>18.143632999999998</v>
      </c>
      <c r="L168" s="5">
        <v>72.508658999999994</v>
      </c>
      <c r="M168" s="5">
        <v>12.443665999999999</v>
      </c>
      <c r="N168" s="5">
        <v>31.222636999999999</v>
      </c>
      <c r="O168" s="5">
        <v>28.27261</v>
      </c>
      <c r="P168" s="5">
        <v>17.147777999999999</v>
      </c>
      <c r="Q168" s="5">
        <v>19.680999999999997</v>
      </c>
      <c r="R168" s="5">
        <v>31.456581</v>
      </c>
      <c r="S168" s="5">
        <v>105.645309</v>
      </c>
      <c r="T168" s="6">
        <v>1805.81005859375</v>
      </c>
    </row>
    <row r="169" spans="1:20">
      <c r="A169" s="37">
        <v>41609</v>
      </c>
      <c r="B169" s="5">
        <v>12.563559999999999</v>
      </c>
      <c r="C169" s="5">
        <v>12.321489</v>
      </c>
      <c r="D169" s="5">
        <v>42.307944999999997</v>
      </c>
      <c r="E169" s="5">
        <v>38.780208999999999</v>
      </c>
      <c r="F169" s="5">
        <v>40.904216999999996</v>
      </c>
      <c r="G169" s="5">
        <v>32.986300999999997</v>
      </c>
      <c r="H169" s="5">
        <v>73.012360000000001</v>
      </c>
      <c r="I169" s="5">
        <v>58.043785</v>
      </c>
      <c r="J169" s="5">
        <v>59.952182999999998</v>
      </c>
      <c r="K169" s="5">
        <v>17.650236</v>
      </c>
      <c r="L169" s="5">
        <v>76.674972999999994</v>
      </c>
      <c r="M169" s="5">
        <v>14.146201</v>
      </c>
      <c r="N169" s="5">
        <v>32.429656999999999</v>
      </c>
      <c r="O169" s="5">
        <v>29.147901999999998</v>
      </c>
      <c r="P169" s="5">
        <v>17.401427999999999</v>
      </c>
      <c r="Q169" s="5">
        <v>19.939501</v>
      </c>
      <c r="R169" s="5">
        <v>31.096654999999998</v>
      </c>
      <c r="S169" s="5">
        <v>110.87662499999999</v>
      </c>
      <c r="T169" s="6">
        <v>1848.359985351562</v>
      </c>
    </row>
    <row r="170" spans="1:20">
      <c r="A170" s="37">
        <v>41640</v>
      </c>
      <c r="B170" s="5">
        <v>12.404176</v>
      </c>
      <c r="C170" s="5">
        <v>13.263824999999999</v>
      </c>
      <c r="D170" s="5">
        <v>40.050750999999998</v>
      </c>
      <c r="E170" s="5">
        <v>35.297385999999996</v>
      </c>
      <c r="F170" s="5">
        <v>37.480179</v>
      </c>
      <c r="G170" s="5">
        <v>33.022193999999999</v>
      </c>
      <c r="H170" s="5">
        <v>69.106155000000001</v>
      </c>
      <c r="I170" s="5">
        <v>54.628608999999997</v>
      </c>
      <c r="J170" s="5">
        <v>57.870215999999999</v>
      </c>
      <c r="K170" s="5">
        <v>17.517693999999999</v>
      </c>
      <c r="L170" s="5">
        <v>71.849471999999992</v>
      </c>
      <c r="M170" s="5">
        <v>12.604113999999999</v>
      </c>
      <c r="N170" s="5">
        <v>32.386806</v>
      </c>
      <c r="O170" s="5">
        <v>26.738507999999999</v>
      </c>
      <c r="P170" s="5">
        <v>15.527350999999999</v>
      </c>
      <c r="Q170" s="5">
        <v>17.9345</v>
      </c>
      <c r="R170" s="5">
        <v>31.454076999999998</v>
      </c>
      <c r="S170" s="5">
        <v>104.439262</v>
      </c>
      <c r="T170" s="6">
        <v>1782.589965820312</v>
      </c>
    </row>
    <row r="171" spans="1:20">
      <c r="A171" s="37">
        <v>41671</v>
      </c>
      <c r="B171" s="5">
        <v>11.780500999999999</v>
      </c>
      <c r="C171" s="5">
        <v>13.089618999999999</v>
      </c>
      <c r="D171" s="5">
        <v>41.375869999999999</v>
      </c>
      <c r="E171" s="5">
        <v>36.197925999999995</v>
      </c>
      <c r="F171" s="5">
        <v>40.923358999999998</v>
      </c>
      <c r="G171" s="5">
        <v>35.914729999999999</v>
      </c>
      <c r="H171" s="5">
        <v>69.08206899999999</v>
      </c>
      <c r="I171" s="5">
        <v>56.507362000000001</v>
      </c>
      <c r="J171" s="5">
        <v>62.087111999999998</v>
      </c>
      <c r="K171" s="5">
        <v>18.503073000000001</v>
      </c>
      <c r="L171" s="5">
        <v>77.338805999999991</v>
      </c>
      <c r="M171" s="5">
        <v>14.675108</v>
      </c>
      <c r="N171" s="5">
        <v>33.158253000000002</v>
      </c>
      <c r="O171" s="5">
        <v>28.283132999999999</v>
      </c>
      <c r="P171" s="5">
        <v>16.322641000000001</v>
      </c>
      <c r="Q171" s="5">
        <v>18.105</v>
      </c>
      <c r="R171" s="5">
        <v>31.844769999999997</v>
      </c>
      <c r="S171" s="5">
        <v>109.45787</v>
      </c>
      <c r="T171" s="6">
        <v>1859.449951171875</v>
      </c>
    </row>
    <row r="172" spans="1:20">
      <c r="A172" s="37">
        <v>41699</v>
      </c>
      <c r="B172" s="5">
        <v>11.024419</v>
      </c>
      <c r="C172" s="5">
        <v>13.620172999999999</v>
      </c>
      <c r="D172" s="5">
        <v>44.208526999999997</v>
      </c>
      <c r="E172" s="5">
        <v>35.431244</v>
      </c>
      <c r="F172" s="5">
        <v>41.568511999999998</v>
      </c>
      <c r="G172" s="5">
        <v>36.802379999999999</v>
      </c>
      <c r="H172" s="5">
        <v>72.997214999999997</v>
      </c>
      <c r="I172" s="5">
        <v>57.901001000000001</v>
      </c>
      <c r="J172" s="5">
        <v>60.741309999999999</v>
      </c>
      <c r="K172" s="5">
        <v>18.663171999999999</v>
      </c>
      <c r="L172" s="5">
        <v>76.279708999999997</v>
      </c>
      <c r="M172" s="5">
        <v>15.300720999999999</v>
      </c>
      <c r="N172" s="5">
        <v>35.769458999999998</v>
      </c>
      <c r="O172" s="5">
        <v>29.293908999999999</v>
      </c>
      <c r="P172" s="5">
        <v>16.747978</v>
      </c>
      <c r="Q172" s="5">
        <v>16.818500999999998</v>
      </c>
      <c r="R172" s="5">
        <v>34.327976</v>
      </c>
      <c r="S172" s="5">
        <v>114.408676</v>
      </c>
      <c r="T172" s="6">
        <v>1872.339965820312</v>
      </c>
    </row>
    <row r="173" spans="1:20">
      <c r="A173" s="37">
        <v>41730</v>
      </c>
      <c r="B173" s="5">
        <v>12.014509</v>
      </c>
      <c r="C173" s="5">
        <v>11.996086999999999</v>
      </c>
      <c r="D173" s="5">
        <v>40.764178999999999</v>
      </c>
      <c r="E173" s="5">
        <v>35.661994999999997</v>
      </c>
      <c r="F173" s="5">
        <v>42.765743000000001</v>
      </c>
      <c r="G173" s="5">
        <v>35.799666999999999</v>
      </c>
      <c r="H173" s="5">
        <v>75.474982999999995</v>
      </c>
      <c r="I173" s="5">
        <v>59.301842000000001</v>
      </c>
      <c r="J173" s="5">
        <v>64.607010000000002</v>
      </c>
      <c r="K173" s="5">
        <v>18.175090999999998</v>
      </c>
      <c r="L173" s="5">
        <v>74.076813000000001</v>
      </c>
      <c r="M173" s="5">
        <v>14.371236</v>
      </c>
      <c r="N173" s="5">
        <v>35.697539999999996</v>
      </c>
      <c r="O173" s="5">
        <v>30.005198</v>
      </c>
      <c r="P173" s="5">
        <v>18.412668</v>
      </c>
      <c r="Q173" s="5">
        <v>15.2065</v>
      </c>
      <c r="R173" s="5">
        <v>33.833861999999996</v>
      </c>
      <c r="S173" s="5">
        <v>116.7743</v>
      </c>
      <c r="T173" s="6">
        <v>1883.949951171875</v>
      </c>
    </row>
    <row r="174" spans="1:20">
      <c r="A174" s="37">
        <v>41760</v>
      </c>
      <c r="B174" s="5">
        <v>11.600216999999999</v>
      </c>
      <c r="C174" s="5">
        <v>11.996086999999999</v>
      </c>
      <c r="D174" s="5">
        <v>40.720675999999997</v>
      </c>
      <c r="E174" s="5">
        <v>35.408920000000002</v>
      </c>
      <c r="F174" s="5">
        <v>44.049575999999995</v>
      </c>
      <c r="G174" s="5">
        <v>37.333137999999998</v>
      </c>
      <c r="H174" s="5">
        <v>73.720337000000001</v>
      </c>
      <c r="I174" s="5">
        <v>58.501204999999999</v>
      </c>
      <c r="J174" s="5">
        <v>65.742858999999996</v>
      </c>
      <c r="K174" s="5">
        <v>17.216369999999998</v>
      </c>
      <c r="L174" s="5">
        <v>77.721267999999995</v>
      </c>
      <c r="M174" s="5">
        <v>13.313915999999999</v>
      </c>
      <c r="N174" s="5">
        <v>36.517356999999997</v>
      </c>
      <c r="O174" s="5">
        <v>31.223741999999998</v>
      </c>
      <c r="P174" s="5">
        <v>19.7516</v>
      </c>
      <c r="Q174" s="5">
        <v>15.6275</v>
      </c>
      <c r="R174" s="5">
        <v>34.286097999999996</v>
      </c>
      <c r="S174" s="5">
        <v>109.57654599999999</v>
      </c>
      <c r="T174" s="6">
        <v>1923.569946289062</v>
      </c>
    </row>
    <row r="175" spans="1:20">
      <c r="A175" s="37">
        <v>41791</v>
      </c>
      <c r="B175" s="5">
        <v>10.299892</v>
      </c>
      <c r="C175" s="5">
        <v>12.178326</v>
      </c>
      <c r="D175" s="5">
        <v>42.222878000000001</v>
      </c>
      <c r="E175" s="5">
        <v>35.066398999999997</v>
      </c>
      <c r="F175" s="5">
        <v>46.111075999999997</v>
      </c>
      <c r="G175" s="5">
        <v>36.167460999999996</v>
      </c>
      <c r="H175" s="5">
        <v>73.218986999999998</v>
      </c>
      <c r="I175" s="5">
        <v>56.908137999999994</v>
      </c>
      <c r="J175" s="5">
        <v>66.058730999999995</v>
      </c>
      <c r="K175" s="5">
        <v>17.399135999999999</v>
      </c>
      <c r="L175" s="5">
        <v>80.583800999999994</v>
      </c>
      <c r="M175" s="5">
        <v>13.627500999999999</v>
      </c>
      <c r="N175" s="5">
        <v>38.068801999999998</v>
      </c>
      <c r="O175" s="5">
        <v>32.369693999999996</v>
      </c>
      <c r="P175" s="5">
        <v>20.411332999999999</v>
      </c>
      <c r="Q175" s="5">
        <v>16.239000000000001</v>
      </c>
      <c r="R175" s="5">
        <v>35.168945000000001</v>
      </c>
      <c r="S175" s="5">
        <v>108.36724099999999</v>
      </c>
      <c r="T175" s="6">
        <v>1960.22998046875</v>
      </c>
    </row>
    <row r="176" spans="1:20">
      <c r="A176" s="37">
        <v>41821</v>
      </c>
      <c r="B176" s="5">
        <v>10.701734999999999</v>
      </c>
      <c r="C176" s="5">
        <v>12.091021999999999</v>
      </c>
      <c r="D176" s="5">
        <v>42.259505999999995</v>
      </c>
      <c r="E176" s="5">
        <v>36.413952000000002</v>
      </c>
      <c r="F176" s="5">
        <v>46.725127999999998</v>
      </c>
      <c r="G176" s="5">
        <v>36.216598999999995</v>
      </c>
      <c r="H176" s="5">
        <v>69.278267</v>
      </c>
      <c r="I176" s="5">
        <v>55.988506000000001</v>
      </c>
      <c r="J176" s="5">
        <v>66.158919999999995</v>
      </c>
      <c r="K176" s="5">
        <v>16.824631</v>
      </c>
      <c r="L176" s="5">
        <v>74.748313999999993</v>
      </c>
      <c r="M176" s="5">
        <v>11.190500999999999</v>
      </c>
      <c r="N176" s="5">
        <v>36.866481999999998</v>
      </c>
      <c r="O176" s="5">
        <v>32.898570999999997</v>
      </c>
      <c r="P176" s="5">
        <v>20.997771999999998</v>
      </c>
      <c r="Q176" s="5">
        <v>15.6495</v>
      </c>
      <c r="R176" s="5">
        <v>36.400279999999995</v>
      </c>
      <c r="S176" s="5">
        <v>114.58459499999999</v>
      </c>
      <c r="T176" s="6">
        <v>1930.670043945312</v>
      </c>
    </row>
    <row r="177" spans="1:20">
      <c r="A177" s="37">
        <v>41852</v>
      </c>
      <c r="B177" s="5">
        <v>10.574838</v>
      </c>
      <c r="C177" s="5">
        <v>12.757016999999999</v>
      </c>
      <c r="D177" s="5">
        <v>43.868400999999999</v>
      </c>
      <c r="E177" s="5">
        <v>38.461593999999998</v>
      </c>
      <c r="F177" s="5">
        <v>48.684013</v>
      </c>
      <c r="G177" s="5">
        <v>39.036735999999998</v>
      </c>
      <c r="H177" s="5">
        <v>68.448013000000003</v>
      </c>
      <c r="I177" s="5">
        <v>60.661884000000001</v>
      </c>
      <c r="J177" s="5">
        <v>69.222899999999996</v>
      </c>
      <c r="K177" s="5">
        <v>17.381135999999998</v>
      </c>
      <c r="L177" s="5">
        <v>76.274604999999994</v>
      </c>
      <c r="M177" s="5">
        <v>11.122798999999999</v>
      </c>
      <c r="N177" s="5">
        <v>37.257602999999996</v>
      </c>
      <c r="O177" s="5">
        <v>33.421180999999997</v>
      </c>
      <c r="P177" s="5">
        <v>22.513307999999999</v>
      </c>
      <c r="Q177" s="5">
        <v>16.951999999999998</v>
      </c>
      <c r="R177" s="5">
        <v>38.314769999999996</v>
      </c>
      <c r="S177" s="5">
        <v>114.961243</v>
      </c>
      <c r="T177" s="6">
        <v>2003.369995117188</v>
      </c>
    </row>
    <row r="178" spans="1:20">
      <c r="A178" s="37">
        <v>41883</v>
      </c>
      <c r="B178" s="5">
        <v>10.488854999999999</v>
      </c>
      <c r="C178" s="5">
        <v>13.518155999999999</v>
      </c>
      <c r="D178" s="5">
        <v>44.451350999999995</v>
      </c>
      <c r="E178" s="5">
        <v>38.588187999999995</v>
      </c>
      <c r="F178" s="5">
        <v>46.571151999999998</v>
      </c>
      <c r="G178" s="5">
        <v>36.461028999999996</v>
      </c>
      <c r="H178" s="5">
        <v>66.738640000000004</v>
      </c>
      <c r="I178" s="5">
        <v>61.121696</v>
      </c>
      <c r="J178" s="5">
        <v>67.172691</v>
      </c>
      <c r="K178" s="5">
        <v>17.487579</v>
      </c>
      <c r="L178" s="5">
        <v>74.562607</v>
      </c>
      <c r="M178" s="5">
        <v>10.080599999999999</v>
      </c>
      <c r="N178" s="5">
        <v>37.831767999999997</v>
      </c>
      <c r="O178" s="5">
        <v>31.363702999999997</v>
      </c>
      <c r="P178" s="5">
        <v>22.239003999999998</v>
      </c>
      <c r="Q178" s="5">
        <v>16.122</v>
      </c>
      <c r="R178" s="5">
        <v>39.343295999999995</v>
      </c>
      <c r="S178" s="5">
        <v>114.15574599999999</v>
      </c>
      <c r="T178" s="6">
        <v>1972.2900390625</v>
      </c>
    </row>
    <row r="179" spans="1:20">
      <c r="A179" s="37">
        <v>41913</v>
      </c>
      <c r="B179" s="5">
        <v>10.906713</v>
      </c>
      <c r="C179" s="5">
        <v>13.647309999999999</v>
      </c>
      <c r="D179" s="5">
        <v>44.628436999999998</v>
      </c>
      <c r="E179" s="5">
        <v>39.861553000000001</v>
      </c>
      <c r="F179" s="5">
        <v>45.925888</v>
      </c>
      <c r="G179" s="5">
        <v>36.425708999999998</v>
      </c>
      <c r="H179" s="5">
        <v>70.134520999999992</v>
      </c>
      <c r="I179" s="5">
        <v>63.698260999999995</v>
      </c>
      <c r="J179" s="5">
        <v>71.246375999999998</v>
      </c>
      <c r="K179" s="5">
        <v>17.712315</v>
      </c>
      <c r="L179" s="5">
        <v>76.615325999999996</v>
      </c>
      <c r="M179" s="5">
        <v>11.536083</v>
      </c>
      <c r="N179" s="5">
        <v>38.721581</v>
      </c>
      <c r="O179" s="5">
        <v>31.281154999999998</v>
      </c>
      <c r="P179" s="5">
        <v>23.839326999999997</v>
      </c>
      <c r="Q179" s="5">
        <v>15.273</v>
      </c>
      <c r="R179" s="5">
        <v>39.844012999999997</v>
      </c>
      <c r="S179" s="5">
        <v>98.863219999999998</v>
      </c>
      <c r="T179" s="6">
        <v>2018.050048828125</v>
      </c>
    </row>
    <row r="180" spans="1:20">
      <c r="A180" s="37">
        <v>41944</v>
      </c>
      <c r="B180" s="5">
        <v>10.828804999999999</v>
      </c>
      <c r="C180" s="5">
        <v>13.551876999999999</v>
      </c>
      <c r="D180" s="5">
        <v>44.691401999999997</v>
      </c>
      <c r="E180" s="5">
        <v>40.196846000000001</v>
      </c>
      <c r="F180" s="5">
        <v>47.063289999999995</v>
      </c>
      <c r="G180" s="5">
        <v>40.892314999999996</v>
      </c>
      <c r="H180" s="5">
        <v>71.019988999999995</v>
      </c>
      <c r="I180" s="5">
        <v>66.510978999999992</v>
      </c>
      <c r="J180" s="5">
        <v>71.855063999999999</v>
      </c>
      <c r="K180" s="5">
        <v>18.421993000000001</v>
      </c>
      <c r="L180" s="5">
        <v>78.953628999999992</v>
      </c>
      <c r="M180" s="5">
        <v>11.436975</v>
      </c>
      <c r="N180" s="5">
        <v>39.735400999999996</v>
      </c>
      <c r="O180" s="5">
        <v>32.337215</v>
      </c>
      <c r="P180" s="5">
        <v>26.251950999999998</v>
      </c>
      <c r="Q180" s="5">
        <v>16.931998999999998</v>
      </c>
      <c r="R180" s="5">
        <v>40.573853</v>
      </c>
      <c r="S180" s="5">
        <v>97.522208999999989</v>
      </c>
      <c r="T180" s="6">
        <v>2067.56005859375</v>
      </c>
    </row>
    <row r="181" spans="1:20">
      <c r="A181" s="37">
        <v>41974</v>
      </c>
      <c r="B181" s="5">
        <v>10.675421999999999</v>
      </c>
      <c r="C181" s="5">
        <v>14.227881</v>
      </c>
      <c r="D181" s="5">
        <v>46.489154999999997</v>
      </c>
      <c r="E181" s="5">
        <v>40.301108999999997</v>
      </c>
      <c r="F181" s="5">
        <v>45.172835999999997</v>
      </c>
      <c r="G181" s="5">
        <v>41.421500999999999</v>
      </c>
      <c r="H181" s="5">
        <v>72.536804000000004</v>
      </c>
      <c r="I181" s="5">
        <v>66.996414000000001</v>
      </c>
      <c r="J181" s="5">
        <v>73.102890000000002</v>
      </c>
      <c r="K181" s="5">
        <v>18.581538999999999</v>
      </c>
      <c r="L181" s="5">
        <v>79.48331499999999</v>
      </c>
      <c r="M181" s="5">
        <v>11.914645999999999</v>
      </c>
      <c r="N181" s="5">
        <v>40.247807000000002</v>
      </c>
      <c r="O181" s="5">
        <v>30.601542999999999</v>
      </c>
      <c r="P181" s="5">
        <v>24.470330999999998</v>
      </c>
      <c r="Q181" s="5">
        <v>15.5175</v>
      </c>
      <c r="R181" s="5">
        <v>39.668315999999997</v>
      </c>
      <c r="S181" s="5">
        <v>97.142203999999992</v>
      </c>
      <c r="T181" s="6">
        <v>2058.89990234375</v>
      </c>
    </row>
    <row r="182" spans="1:20">
      <c r="A182" s="37">
        <v>42005</v>
      </c>
      <c r="B182" s="5">
        <v>9.985536999999999</v>
      </c>
      <c r="C182" s="5">
        <v>12.083995999999999</v>
      </c>
      <c r="D182" s="5">
        <v>40.397579</v>
      </c>
      <c r="E182" s="5">
        <v>34.968348999999996</v>
      </c>
      <c r="F182" s="5">
        <v>36.710521999999997</v>
      </c>
      <c r="G182" s="5">
        <v>40.45232</v>
      </c>
      <c r="H182" s="5">
        <v>70.315033</v>
      </c>
      <c r="I182" s="5">
        <v>61.995032999999999</v>
      </c>
      <c r="J182" s="5">
        <v>71.648330999999999</v>
      </c>
      <c r="K182" s="5">
        <v>18.641189999999998</v>
      </c>
      <c r="L182" s="5">
        <v>68.932816000000003</v>
      </c>
      <c r="M182" s="5">
        <v>11.34685</v>
      </c>
      <c r="N182" s="5">
        <v>38.118687000000001</v>
      </c>
      <c r="O182" s="5">
        <v>25.509822999999997</v>
      </c>
      <c r="P182" s="5">
        <v>25.973399999999998</v>
      </c>
      <c r="Q182" s="5">
        <v>17.726499999999998</v>
      </c>
      <c r="R182" s="5">
        <v>34.501605999999995</v>
      </c>
      <c r="S182" s="5">
        <v>92.825142</v>
      </c>
      <c r="T182" s="6">
        <v>1994.989990234375</v>
      </c>
    </row>
    <row r="183" spans="1:20">
      <c r="A183" s="37">
        <v>42036</v>
      </c>
      <c r="B183" s="5">
        <v>11.279957999999999</v>
      </c>
      <c r="C183" s="5">
        <v>12.610427</v>
      </c>
      <c r="D183" s="5">
        <v>45.816265000000001</v>
      </c>
      <c r="E183" s="5">
        <v>39.050697</v>
      </c>
      <c r="F183" s="5">
        <v>39.985351999999999</v>
      </c>
      <c r="G183" s="5">
        <v>40.351012999999995</v>
      </c>
      <c r="H183" s="5">
        <v>74.780417999999997</v>
      </c>
      <c r="I183" s="5">
        <v>63.058200999999997</v>
      </c>
      <c r="J183" s="5">
        <v>75.236472999999989</v>
      </c>
      <c r="K183" s="5">
        <v>20.472505999999999</v>
      </c>
      <c r="L183" s="5">
        <v>69.906730999999994</v>
      </c>
      <c r="M183" s="5">
        <v>12.648259999999999</v>
      </c>
      <c r="N183" s="5">
        <v>40.225791999999998</v>
      </c>
      <c r="O183" s="5">
        <v>28.323995999999998</v>
      </c>
      <c r="P183" s="5">
        <v>28.478517999999998</v>
      </c>
      <c r="Q183" s="5">
        <v>19.007998999999998</v>
      </c>
      <c r="R183" s="5">
        <v>37.447905999999996</v>
      </c>
      <c r="S183" s="5">
        <v>98.050399999999996</v>
      </c>
      <c r="T183" s="6">
        <v>2104.5</v>
      </c>
    </row>
    <row r="184" spans="1:20">
      <c r="A184" s="37">
        <v>42064</v>
      </c>
      <c r="B184" s="5">
        <v>10.362482999999999</v>
      </c>
      <c r="C184" s="5">
        <v>12.275425</v>
      </c>
      <c r="D184" s="5">
        <v>45.292918999999998</v>
      </c>
      <c r="E184" s="5">
        <v>38.380221999999996</v>
      </c>
      <c r="F184" s="5">
        <v>38.701118000000001</v>
      </c>
      <c r="G184" s="5">
        <v>41.104588</v>
      </c>
      <c r="H184" s="5">
        <v>72.378524999999996</v>
      </c>
      <c r="I184" s="5">
        <v>60.695273999999998</v>
      </c>
      <c r="J184" s="5">
        <v>72.956603999999999</v>
      </c>
      <c r="K184" s="5">
        <v>20.935938</v>
      </c>
      <c r="L184" s="5">
        <v>66.933632000000003</v>
      </c>
      <c r="M184" s="5">
        <v>12.440320999999999</v>
      </c>
      <c r="N184" s="5">
        <v>40.202720999999997</v>
      </c>
      <c r="O184" s="5">
        <v>27.678069999999998</v>
      </c>
      <c r="P184" s="5">
        <v>27.693963999999998</v>
      </c>
      <c r="Q184" s="5">
        <v>18.605</v>
      </c>
      <c r="R184" s="5">
        <v>34.970779</v>
      </c>
      <c r="S184" s="5">
        <v>97.860198999999994</v>
      </c>
      <c r="T184" s="6">
        <v>2067.889892578125</v>
      </c>
    </row>
    <row r="185" spans="1:20">
      <c r="A185" s="37">
        <v>42095</v>
      </c>
      <c r="B185" s="5">
        <v>11.348647999999999</v>
      </c>
      <c r="C185" s="5">
        <v>12.745870999999999</v>
      </c>
      <c r="D185" s="5">
        <v>47.296630999999998</v>
      </c>
      <c r="E185" s="5">
        <v>39.721153000000001</v>
      </c>
      <c r="F185" s="5">
        <v>42.140792999999995</v>
      </c>
      <c r="G185" s="5">
        <v>41.130645999999999</v>
      </c>
      <c r="H185" s="5">
        <v>75.227233999999996</v>
      </c>
      <c r="I185" s="5">
        <v>58.895297999999997</v>
      </c>
      <c r="J185" s="5">
        <v>75.913314999999997</v>
      </c>
      <c r="K185" s="5">
        <v>20.418409</v>
      </c>
      <c r="L185" s="5">
        <v>66.581389999999999</v>
      </c>
      <c r="M185" s="5">
        <v>12.105805</v>
      </c>
      <c r="N185" s="5">
        <v>40.720027999999999</v>
      </c>
      <c r="O185" s="5">
        <v>29.816094999999997</v>
      </c>
      <c r="P185" s="5">
        <v>27.854208</v>
      </c>
      <c r="Q185" s="5">
        <v>21.089001</v>
      </c>
      <c r="R185" s="5">
        <v>41.834201999999998</v>
      </c>
      <c r="S185" s="5">
        <v>104.43910199999999</v>
      </c>
      <c r="T185" s="6">
        <v>2085.510009765625</v>
      </c>
    </row>
    <row r="186" spans="1:20">
      <c r="A186" s="37">
        <v>42125</v>
      </c>
      <c r="B186" s="5">
        <v>11.918246999999999</v>
      </c>
      <c r="C186" s="5">
        <v>13.201938999999999</v>
      </c>
      <c r="D186" s="5">
        <v>49.507598999999999</v>
      </c>
      <c r="E186" s="5">
        <v>40.287312</v>
      </c>
      <c r="F186" s="5">
        <v>39.825686999999995</v>
      </c>
      <c r="G186" s="5">
        <v>42.607098000000001</v>
      </c>
      <c r="H186" s="5">
        <v>77.853377999999992</v>
      </c>
      <c r="I186" s="5">
        <v>58.532719</v>
      </c>
      <c r="J186" s="5">
        <v>78.789870999999991</v>
      </c>
      <c r="K186" s="5">
        <v>20.911873</v>
      </c>
      <c r="L186" s="5">
        <v>68.532828999999992</v>
      </c>
      <c r="M186" s="5">
        <v>12.604101999999999</v>
      </c>
      <c r="N186" s="5">
        <v>41.355578999999999</v>
      </c>
      <c r="O186" s="5">
        <v>28.408639999999998</v>
      </c>
      <c r="P186" s="5">
        <v>28.995977</v>
      </c>
      <c r="Q186" s="5">
        <v>21.461499999999997</v>
      </c>
      <c r="R186" s="5">
        <v>40.303256999999995</v>
      </c>
      <c r="S186" s="5">
        <v>103.439156</v>
      </c>
      <c r="T186" s="6">
        <v>2107.389892578125</v>
      </c>
    </row>
    <row r="187" spans="1:20">
      <c r="A187" s="37">
        <v>42156</v>
      </c>
      <c r="B187" s="5">
        <v>11.901551</v>
      </c>
      <c r="C187" s="5">
        <v>13.617998</v>
      </c>
      <c r="D187" s="5">
        <v>50.997802999999998</v>
      </c>
      <c r="E187" s="5">
        <v>41.190472</v>
      </c>
      <c r="F187" s="5">
        <v>38.639384999999997</v>
      </c>
      <c r="G187" s="5">
        <v>42.938026000000001</v>
      </c>
      <c r="H187" s="5">
        <v>80.65405299999999</v>
      </c>
      <c r="I187" s="5">
        <v>58.420699999999997</v>
      </c>
      <c r="J187" s="5">
        <v>80.943435999999991</v>
      </c>
      <c r="K187" s="5">
        <v>20.344653999999998</v>
      </c>
      <c r="L187" s="5">
        <v>66.813468999999998</v>
      </c>
      <c r="M187" s="5">
        <v>12.377407999999999</v>
      </c>
      <c r="N187" s="5">
        <v>41.844127999999998</v>
      </c>
      <c r="O187" s="5">
        <v>27.717492999999997</v>
      </c>
      <c r="P187" s="5">
        <v>28.033141999999998</v>
      </c>
      <c r="Q187" s="5">
        <v>21.704499999999999</v>
      </c>
      <c r="R187" s="5">
        <v>38.219218999999995</v>
      </c>
      <c r="S187" s="5">
        <v>99.927749999999989</v>
      </c>
      <c r="T187" s="6">
        <v>2063.110107421875</v>
      </c>
    </row>
    <row r="188" spans="1:20">
      <c r="A188" s="37">
        <v>42186</v>
      </c>
      <c r="B188" s="5">
        <v>13.016416999999999</v>
      </c>
      <c r="C188" s="5">
        <v>14.349008</v>
      </c>
      <c r="D188" s="5">
        <v>51.577327999999994</v>
      </c>
      <c r="E188" s="5">
        <v>43.591495999999999</v>
      </c>
      <c r="F188" s="5">
        <v>36.416709999999995</v>
      </c>
      <c r="G188" s="5">
        <v>44.180751999999998</v>
      </c>
      <c r="H188" s="5">
        <v>79.097884999999991</v>
      </c>
      <c r="I188" s="5">
        <v>57.270812999999997</v>
      </c>
      <c r="J188" s="5">
        <v>81.549697999999992</v>
      </c>
      <c r="K188" s="5">
        <v>21.879763000000001</v>
      </c>
      <c r="L188" s="5">
        <v>65.631073000000001</v>
      </c>
      <c r="M188" s="5">
        <v>11.987497999999999</v>
      </c>
      <c r="N188" s="5">
        <v>43.056888999999998</v>
      </c>
      <c r="O188" s="5">
        <v>26.348236</v>
      </c>
      <c r="P188" s="5">
        <v>27.110091999999998</v>
      </c>
      <c r="Q188" s="5">
        <v>26.807500999999998</v>
      </c>
      <c r="R188" s="5">
        <v>40.426670000000001</v>
      </c>
      <c r="S188" s="5">
        <v>99.516173999999992</v>
      </c>
      <c r="T188" s="6">
        <v>2103.840087890625</v>
      </c>
    </row>
    <row r="189" spans="1:20">
      <c r="A189" s="37">
        <v>42217</v>
      </c>
      <c r="B189" s="5">
        <v>11.546823</v>
      </c>
      <c r="C189" s="5">
        <v>13.113132999999999</v>
      </c>
      <c r="D189" s="5">
        <v>48.558513999999995</v>
      </c>
      <c r="E189" s="5">
        <v>39.911968000000002</v>
      </c>
      <c r="F189" s="5">
        <v>35.556098999999996</v>
      </c>
      <c r="G189" s="5">
        <v>37.495415000000001</v>
      </c>
      <c r="H189" s="5">
        <v>68.400382999999991</v>
      </c>
      <c r="I189" s="5">
        <v>53.200385999999995</v>
      </c>
      <c r="J189" s="5">
        <v>78.480682000000002</v>
      </c>
      <c r="K189" s="5">
        <v>19.549803000000001</v>
      </c>
      <c r="L189" s="5">
        <v>66.200561999999991</v>
      </c>
      <c r="M189" s="5">
        <v>11.059709</v>
      </c>
      <c r="N189" s="5">
        <v>39.679001</v>
      </c>
      <c r="O189" s="5">
        <v>26.201134</v>
      </c>
      <c r="P189" s="5">
        <v>25.201440999999999</v>
      </c>
      <c r="Q189" s="5">
        <v>25.644500999999998</v>
      </c>
      <c r="R189" s="5">
        <v>37.673850999999999</v>
      </c>
      <c r="S189" s="5">
        <v>90.854003999999989</v>
      </c>
      <c r="T189" s="6">
        <v>1972.180053710938</v>
      </c>
    </row>
    <row r="190" spans="1:20">
      <c r="A190" s="37">
        <v>42248</v>
      </c>
      <c r="B190" s="5">
        <v>10.738317</v>
      </c>
      <c r="C190" s="5">
        <v>12.503221</v>
      </c>
      <c r="D190" s="5">
        <v>46.187407999999998</v>
      </c>
      <c r="E190" s="5">
        <v>37.023792</v>
      </c>
      <c r="F190" s="5">
        <v>35.964869999999998</v>
      </c>
      <c r="G190" s="5">
        <v>32.831672999999995</v>
      </c>
      <c r="H190" s="5">
        <v>61.893229999999996</v>
      </c>
      <c r="I190" s="5">
        <v>54.156464</v>
      </c>
      <c r="J190" s="5">
        <v>74.970992999999993</v>
      </c>
      <c r="K190" s="5">
        <v>19.207255999999997</v>
      </c>
      <c r="L190" s="5">
        <v>63.965713999999998</v>
      </c>
      <c r="M190" s="5">
        <v>10.741379999999999</v>
      </c>
      <c r="N190" s="5">
        <v>38.455245999999995</v>
      </c>
      <c r="O190" s="5">
        <v>25.950975</v>
      </c>
      <c r="P190" s="5">
        <v>24.763223999999997</v>
      </c>
      <c r="Q190" s="5">
        <v>25.5945</v>
      </c>
      <c r="R190" s="5">
        <v>38.567088999999996</v>
      </c>
      <c r="S190" s="5">
        <v>89.799499999999995</v>
      </c>
      <c r="T190" s="6">
        <v>1920.030029296875</v>
      </c>
    </row>
    <row r="191" spans="1:20">
      <c r="A191" s="37">
        <v>42278</v>
      </c>
      <c r="B191" s="5">
        <v>10.338716999999999</v>
      </c>
      <c r="C191" s="5">
        <v>13.509601</v>
      </c>
      <c r="D191" s="5">
        <v>48.672149999999995</v>
      </c>
      <c r="E191" s="5">
        <v>39.680622</v>
      </c>
      <c r="F191" s="5">
        <v>38.298786</v>
      </c>
      <c r="G191" s="5">
        <v>32.816497999999996</v>
      </c>
      <c r="H191" s="5">
        <v>65.759261999999993</v>
      </c>
      <c r="I191" s="5">
        <v>57.498885999999999</v>
      </c>
      <c r="J191" s="5">
        <v>82.389190999999997</v>
      </c>
      <c r="K191" s="5">
        <v>20.680976999999999</v>
      </c>
      <c r="L191" s="5">
        <v>63.215011999999994</v>
      </c>
      <c r="M191" s="5">
        <v>12.078365</v>
      </c>
      <c r="N191" s="5">
        <v>40.544627999999996</v>
      </c>
      <c r="O191" s="5">
        <v>27.004283999999998</v>
      </c>
      <c r="P191" s="5">
        <v>26.828696999999998</v>
      </c>
      <c r="Q191" s="5">
        <v>31.294999999999998</v>
      </c>
      <c r="R191" s="5">
        <v>45.869228</v>
      </c>
      <c r="S191" s="5">
        <v>86.770470000000003</v>
      </c>
      <c r="T191" s="6">
        <v>2079.360107421875</v>
      </c>
    </row>
    <row r="192" spans="1:20">
      <c r="A192" s="37">
        <v>42309</v>
      </c>
      <c r="B192" s="5">
        <v>9.7720140000000004</v>
      </c>
      <c r="C192" s="5">
        <v>14.032909999999999</v>
      </c>
      <c r="D192" s="5">
        <v>50.877440999999997</v>
      </c>
      <c r="E192" s="5">
        <v>40.404109999999996</v>
      </c>
      <c r="F192" s="5">
        <v>38.403706</v>
      </c>
      <c r="G192" s="5">
        <v>25.156312999999997</v>
      </c>
      <c r="H192" s="5">
        <v>67.082909000000001</v>
      </c>
      <c r="I192" s="5">
        <v>56.845950999999999</v>
      </c>
      <c r="J192" s="5">
        <v>84.861312999999996</v>
      </c>
      <c r="K192" s="5">
        <v>20.038906000000001</v>
      </c>
      <c r="L192" s="5">
        <v>62.051078999999994</v>
      </c>
      <c r="M192" s="5">
        <v>12.848597</v>
      </c>
      <c r="N192" s="5">
        <v>41.263549999999995</v>
      </c>
      <c r="O192" s="5">
        <v>27.134757999999998</v>
      </c>
      <c r="P192" s="5">
        <v>26.559289999999997</v>
      </c>
      <c r="Q192" s="5">
        <v>33.240001999999997</v>
      </c>
      <c r="R192" s="5">
        <v>47.359279999999998</v>
      </c>
      <c r="S192" s="5">
        <v>86.361609999999999</v>
      </c>
      <c r="T192" s="6">
        <v>2080.409912109375</v>
      </c>
    </row>
    <row r="193" spans="1:20">
      <c r="A193" s="37">
        <v>42339</v>
      </c>
      <c r="B193" s="5">
        <v>9.4558689999999999</v>
      </c>
      <c r="C193" s="5">
        <v>13.549852</v>
      </c>
      <c r="D193" s="5">
        <v>50.381492999999999</v>
      </c>
      <c r="E193" s="5">
        <v>38.656188999999998</v>
      </c>
      <c r="F193" s="5">
        <v>37.590857999999997</v>
      </c>
      <c r="G193" s="5">
        <v>22.517087999999998</v>
      </c>
      <c r="H193" s="5">
        <v>64.300765999999996</v>
      </c>
      <c r="I193" s="5">
        <v>60.317161999999996</v>
      </c>
      <c r="J193" s="5">
        <v>82.972236999999993</v>
      </c>
      <c r="K193" s="5">
        <v>19.898589999999999</v>
      </c>
      <c r="L193" s="5">
        <v>60.240845</v>
      </c>
      <c r="M193" s="5">
        <v>12.246316999999999</v>
      </c>
      <c r="N193" s="5">
        <v>40.989207999999998</v>
      </c>
      <c r="O193" s="5">
        <v>26.037924</v>
      </c>
      <c r="P193" s="5">
        <v>23.732863999999999</v>
      </c>
      <c r="Q193" s="5">
        <v>33.794497999999997</v>
      </c>
      <c r="R193" s="5">
        <v>48.669787999999997</v>
      </c>
      <c r="S193" s="5">
        <v>86.04628799999999</v>
      </c>
      <c r="T193" s="6">
        <v>2043.93994140625</v>
      </c>
    </row>
    <row r="194" spans="1:20">
      <c r="A194" s="37">
        <v>42370</v>
      </c>
      <c r="B194" s="5">
        <v>7.8652999999999995</v>
      </c>
      <c r="C194" s="5">
        <v>11.416179999999999</v>
      </c>
      <c r="D194" s="5">
        <v>45.399032999999996</v>
      </c>
      <c r="E194" s="5">
        <v>31.806380999999998</v>
      </c>
      <c r="F194" s="5">
        <v>35.658684000000001</v>
      </c>
      <c r="G194" s="5">
        <v>26.262041</v>
      </c>
      <c r="H194" s="5">
        <v>65.428116000000003</v>
      </c>
      <c r="I194" s="5">
        <v>62.048991999999998</v>
      </c>
      <c r="J194" s="5">
        <v>73.708275</v>
      </c>
      <c r="K194" s="5">
        <v>18.795168</v>
      </c>
      <c r="L194" s="5">
        <v>46.339103999999999</v>
      </c>
      <c r="M194" s="5">
        <v>12.063808</v>
      </c>
      <c r="N194" s="5">
        <v>37.875050000000002</v>
      </c>
      <c r="O194" s="5">
        <v>25.153832999999999</v>
      </c>
      <c r="P194" s="5">
        <v>21.947146999999998</v>
      </c>
      <c r="Q194" s="5">
        <v>29.349999999999998</v>
      </c>
      <c r="R194" s="5">
        <v>48.327663000000001</v>
      </c>
      <c r="S194" s="5">
        <v>78.02437599999999</v>
      </c>
      <c r="T194" s="6">
        <v>1940.239990234375</v>
      </c>
    </row>
    <row r="195" spans="1:20">
      <c r="A195" s="37">
        <v>42401</v>
      </c>
      <c r="B195" s="5">
        <v>6.8876089999999994</v>
      </c>
      <c r="C195" s="5">
        <v>10.108241</v>
      </c>
      <c r="D195" s="5">
        <v>43.245578999999999</v>
      </c>
      <c r="E195" s="5">
        <v>29.055971</v>
      </c>
      <c r="F195" s="5">
        <v>37.078941</v>
      </c>
      <c r="G195" s="5">
        <v>28.08173</v>
      </c>
      <c r="H195" s="5">
        <v>68.121368000000004</v>
      </c>
      <c r="I195" s="5">
        <v>61.517112999999995</v>
      </c>
      <c r="J195" s="5">
        <v>73.450417000000002</v>
      </c>
      <c r="K195" s="5">
        <v>18.289687999999998</v>
      </c>
      <c r="L195" s="5">
        <v>48.351391</v>
      </c>
      <c r="M195" s="5">
        <v>11.506725999999999</v>
      </c>
      <c r="N195" s="5">
        <v>35.379204000000001</v>
      </c>
      <c r="O195" s="5">
        <v>25.945760999999997</v>
      </c>
      <c r="P195" s="5">
        <v>21.800591000000001</v>
      </c>
      <c r="Q195" s="5">
        <v>27.625999</v>
      </c>
      <c r="R195" s="5">
        <v>44.634444999999999</v>
      </c>
      <c r="S195" s="5">
        <v>81.925888</v>
      </c>
      <c r="T195" s="6">
        <v>1932.22998046875</v>
      </c>
    </row>
    <row r="196" spans="1:20">
      <c r="A196" s="37">
        <v>42430</v>
      </c>
      <c r="B196" s="5">
        <v>6.28932</v>
      </c>
      <c r="C196" s="5">
        <v>10.915611</v>
      </c>
      <c r="D196" s="5">
        <v>45.488529</v>
      </c>
      <c r="E196" s="5">
        <v>31.224875999999998</v>
      </c>
      <c r="F196" s="5">
        <v>40.900047000000001</v>
      </c>
      <c r="G196" s="5">
        <v>28.653628999999999</v>
      </c>
      <c r="H196" s="5">
        <v>65.411124999999998</v>
      </c>
      <c r="I196" s="5">
        <v>63.064826999999994</v>
      </c>
      <c r="J196" s="5">
        <v>82.676734999999994</v>
      </c>
      <c r="K196" s="5">
        <v>18.454891</v>
      </c>
      <c r="L196" s="5">
        <v>53.414470999999999</v>
      </c>
      <c r="M196" s="5">
        <v>11.406032999999999</v>
      </c>
      <c r="N196" s="5">
        <v>36.747208000000001</v>
      </c>
      <c r="O196" s="5">
        <v>28.945689999999999</v>
      </c>
      <c r="P196" s="5">
        <v>24.707208999999999</v>
      </c>
      <c r="Q196" s="5">
        <v>29.681998999999998</v>
      </c>
      <c r="R196" s="5">
        <v>48.798347</v>
      </c>
      <c r="S196" s="5">
        <v>95.660645000000002</v>
      </c>
      <c r="T196" s="6">
        <v>2059.739990234375</v>
      </c>
    </row>
    <row r="197" spans="1:20">
      <c r="A197" s="37">
        <v>42461</v>
      </c>
      <c r="B197" s="5">
        <v>7.4840659999999994</v>
      </c>
      <c r="C197" s="5">
        <v>11.800004999999999</v>
      </c>
      <c r="D197" s="5">
        <v>48.545673000000001</v>
      </c>
      <c r="E197" s="5">
        <v>34.612873</v>
      </c>
      <c r="F197" s="5">
        <v>43.912459999999996</v>
      </c>
      <c r="G197" s="5">
        <v>25.940410999999997</v>
      </c>
      <c r="H197" s="5">
        <v>71.999184</v>
      </c>
      <c r="I197" s="5">
        <v>61.386879</v>
      </c>
      <c r="J197" s="5">
        <v>87.949607999999998</v>
      </c>
      <c r="K197" s="5">
        <v>20.366377</v>
      </c>
      <c r="L197" s="5">
        <v>56.920333999999997</v>
      </c>
      <c r="M197" s="5">
        <v>11.735576999999999</v>
      </c>
      <c r="N197" s="5">
        <v>37.978198999999996</v>
      </c>
      <c r="O197" s="5">
        <v>29.865126</v>
      </c>
      <c r="P197" s="5">
        <v>21.250146999999998</v>
      </c>
      <c r="Q197" s="5">
        <v>32.979500000000002</v>
      </c>
      <c r="R197" s="5">
        <v>44.062537999999996</v>
      </c>
      <c r="S197" s="5">
        <v>92.180335999999997</v>
      </c>
      <c r="T197" s="6">
        <v>2065.300048828125</v>
      </c>
    </row>
    <row r="198" spans="1:20">
      <c r="A198" s="37">
        <v>42491</v>
      </c>
      <c r="B198" s="5">
        <v>7.8787469999999997</v>
      </c>
      <c r="C198" s="5">
        <v>11.986407</v>
      </c>
      <c r="D198" s="5">
        <v>50.506865999999995</v>
      </c>
      <c r="E198" s="5">
        <v>34.866599999999998</v>
      </c>
      <c r="F198" s="5">
        <v>42.833134000000001</v>
      </c>
      <c r="G198" s="5">
        <v>21.760062999999999</v>
      </c>
      <c r="H198" s="5">
        <v>70.441222999999994</v>
      </c>
      <c r="I198" s="5">
        <v>62.600417999999998</v>
      </c>
      <c r="J198" s="5">
        <v>88.939751000000001</v>
      </c>
      <c r="K198" s="5">
        <v>21.605416999999999</v>
      </c>
      <c r="L198" s="5">
        <v>57.484378999999997</v>
      </c>
      <c r="M198" s="5">
        <v>11.102159</v>
      </c>
      <c r="N198" s="5">
        <v>38.540515999999997</v>
      </c>
      <c r="O198" s="5">
        <v>29.552325999999997</v>
      </c>
      <c r="P198" s="5">
        <v>22.637501</v>
      </c>
      <c r="Q198" s="5">
        <v>36.139499999999998</v>
      </c>
      <c r="R198" s="5">
        <v>46.828040999999999</v>
      </c>
      <c r="S198" s="5">
        <v>97.107085999999995</v>
      </c>
      <c r="T198" s="6">
        <v>2096.949951171875</v>
      </c>
    </row>
    <row r="199" spans="1:20">
      <c r="A199" s="37">
        <v>42522</v>
      </c>
      <c r="B199" s="5">
        <v>5.6595909999999998</v>
      </c>
      <c r="C199" s="5">
        <v>10.754538999999999</v>
      </c>
      <c r="D199" s="5">
        <v>48.084842999999999</v>
      </c>
      <c r="E199" s="5">
        <v>31.737074</v>
      </c>
      <c r="F199" s="5">
        <v>43.159942999999998</v>
      </c>
      <c r="G199" s="5">
        <v>22.022157999999997</v>
      </c>
      <c r="H199" s="5">
        <v>69.371239000000003</v>
      </c>
      <c r="I199" s="5">
        <v>65.404456999999994</v>
      </c>
      <c r="J199" s="5">
        <v>87.824669</v>
      </c>
      <c r="K199" s="5">
        <v>22.119287</v>
      </c>
      <c r="L199" s="5">
        <v>53.113593999999999</v>
      </c>
      <c r="M199" s="5">
        <v>11.111341999999999</v>
      </c>
      <c r="N199" s="5">
        <v>36.239986000000002</v>
      </c>
      <c r="O199" s="5">
        <v>29.098208999999997</v>
      </c>
      <c r="P199" s="5">
        <v>21.803736000000001</v>
      </c>
      <c r="Q199" s="5">
        <v>35.780997999999997</v>
      </c>
      <c r="R199" s="5">
        <v>45.527366999999998</v>
      </c>
      <c r="S199" s="5">
        <v>96.794265999999993</v>
      </c>
      <c r="T199" s="6">
        <v>2098.860107421875</v>
      </c>
    </row>
    <row r="200" spans="1:20">
      <c r="A200" s="37">
        <v>42552</v>
      </c>
      <c r="B200" s="5">
        <v>6.1361889999999999</v>
      </c>
      <c r="C200" s="5">
        <v>11.783107999999999</v>
      </c>
      <c r="D200" s="5">
        <v>49.500926999999997</v>
      </c>
      <c r="E200" s="5">
        <v>32.800216999999996</v>
      </c>
      <c r="F200" s="5">
        <v>43.656970999999999</v>
      </c>
      <c r="G200" s="5">
        <v>23.746800999999998</v>
      </c>
      <c r="H200" s="5">
        <v>67.019713999999993</v>
      </c>
      <c r="I200" s="5">
        <v>66.11511999999999</v>
      </c>
      <c r="J200" s="5">
        <v>96.100196999999994</v>
      </c>
      <c r="K200" s="5">
        <v>23.174685</v>
      </c>
      <c r="L200" s="5">
        <v>56.631625999999997</v>
      </c>
      <c r="M200" s="5">
        <v>11.919440999999999</v>
      </c>
      <c r="N200" s="5">
        <v>36.730025999999995</v>
      </c>
      <c r="O200" s="5">
        <v>29.532004999999998</v>
      </c>
      <c r="P200" s="5">
        <v>23.767440999999998</v>
      </c>
      <c r="Q200" s="5">
        <v>37.940497999999998</v>
      </c>
      <c r="R200" s="5">
        <v>50.429774999999999</v>
      </c>
      <c r="S200" s="5">
        <v>102.43180799999999</v>
      </c>
      <c r="T200" s="6">
        <v>2173.60009765625</v>
      </c>
    </row>
    <row r="201" spans="1:20">
      <c r="A201" s="37">
        <v>42583</v>
      </c>
      <c r="B201" s="5">
        <v>6.7840629999999997</v>
      </c>
      <c r="C201" s="5">
        <v>13.124870999999999</v>
      </c>
      <c r="D201" s="5">
        <v>52.639094999999998</v>
      </c>
      <c r="E201" s="5">
        <v>35.872166</v>
      </c>
      <c r="F201" s="5">
        <v>45.600646999999995</v>
      </c>
      <c r="G201" s="5">
        <v>23.978763999999998</v>
      </c>
      <c r="H201" s="5">
        <v>72.918785</v>
      </c>
      <c r="I201" s="5">
        <v>67.972251999999997</v>
      </c>
      <c r="J201" s="5">
        <v>97.718955999999991</v>
      </c>
      <c r="K201" s="5">
        <v>21.861722999999998</v>
      </c>
      <c r="L201" s="5">
        <v>57.615596999999994</v>
      </c>
      <c r="M201" s="5">
        <v>11.921540999999999</v>
      </c>
      <c r="N201" s="5">
        <v>38.896918999999997</v>
      </c>
      <c r="O201" s="5">
        <v>30.530977</v>
      </c>
      <c r="P201" s="5">
        <v>24.198504999999997</v>
      </c>
      <c r="Q201" s="5">
        <v>38.457999999999998</v>
      </c>
      <c r="R201" s="5">
        <v>51.123759999999997</v>
      </c>
      <c r="S201" s="5">
        <v>101.322159</v>
      </c>
      <c r="T201" s="6">
        <v>2170.949951171875</v>
      </c>
    </row>
    <row r="202" spans="1:20">
      <c r="A202" s="37">
        <v>42614</v>
      </c>
      <c r="B202" s="5">
        <v>6.511997</v>
      </c>
      <c r="C202" s="5">
        <v>12.785636999999999</v>
      </c>
      <c r="D202" s="5">
        <v>51.92944</v>
      </c>
      <c r="E202" s="5">
        <v>35.488945000000001</v>
      </c>
      <c r="F202" s="5">
        <v>45.098545000000001</v>
      </c>
      <c r="G202" s="5">
        <v>24.555367999999998</v>
      </c>
      <c r="H202" s="5">
        <v>73.608727000000002</v>
      </c>
      <c r="I202" s="5">
        <v>69.871841000000003</v>
      </c>
      <c r="J202" s="5">
        <v>97.565612999999999</v>
      </c>
      <c r="K202" s="5">
        <v>21.454355</v>
      </c>
      <c r="L202" s="5">
        <v>56.262637999999995</v>
      </c>
      <c r="M202" s="5">
        <v>11.009457999999999</v>
      </c>
      <c r="N202" s="5">
        <v>34.176898999999999</v>
      </c>
      <c r="O202" s="5">
        <v>30.394069999999999</v>
      </c>
      <c r="P202" s="5">
        <v>25.923280999999999</v>
      </c>
      <c r="Q202" s="5">
        <v>41.865500999999995</v>
      </c>
      <c r="R202" s="5">
        <v>51.567726</v>
      </c>
      <c r="S202" s="5">
        <v>102.17791699999999</v>
      </c>
      <c r="T202" s="6">
        <v>2168.27001953125</v>
      </c>
    </row>
    <row r="203" spans="1:20">
      <c r="A203" s="37">
        <v>42644</v>
      </c>
      <c r="B203" s="5">
        <v>6.9091610000000001</v>
      </c>
      <c r="C203" s="5">
        <v>13.480067</v>
      </c>
      <c r="D203" s="5">
        <v>54.011603999999998</v>
      </c>
      <c r="E203" s="5">
        <v>36.931643999999999</v>
      </c>
      <c r="F203" s="5">
        <v>43.743598999999996</v>
      </c>
      <c r="G203" s="5">
        <v>24.443398999999999</v>
      </c>
      <c r="H203" s="5">
        <v>76.707076999999998</v>
      </c>
      <c r="I203" s="5">
        <v>67.575203000000002</v>
      </c>
      <c r="J203" s="5">
        <v>90.314422999999991</v>
      </c>
      <c r="K203" s="5">
        <v>20.086143</v>
      </c>
      <c r="L203" s="5">
        <v>58.353572999999997</v>
      </c>
      <c r="M203" s="5">
        <v>10.0421</v>
      </c>
      <c r="N203" s="5">
        <v>35.512188000000002</v>
      </c>
      <c r="O203" s="5">
        <v>31.064938999999999</v>
      </c>
      <c r="P203" s="5">
        <v>26.035643</v>
      </c>
      <c r="Q203" s="5">
        <v>39.491000999999997</v>
      </c>
      <c r="R203" s="5">
        <v>53.644763999999995</v>
      </c>
      <c r="S203" s="5">
        <v>98.85883299999999</v>
      </c>
      <c r="T203" s="6">
        <v>2126.14990234375</v>
      </c>
    </row>
    <row r="204" spans="1:20">
      <c r="A204" s="37">
        <v>42675</v>
      </c>
      <c r="B204" s="5">
        <v>8.0556929999999998</v>
      </c>
      <c r="C204" s="5">
        <v>17.254481999999999</v>
      </c>
      <c r="D204" s="5">
        <v>62.974120999999997</v>
      </c>
      <c r="E204" s="5">
        <v>42.371825999999999</v>
      </c>
      <c r="F204" s="5">
        <v>45.750152999999997</v>
      </c>
      <c r="G204" s="5">
        <v>28.268340999999999</v>
      </c>
      <c r="H204" s="5">
        <v>87.044708</v>
      </c>
      <c r="I204" s="5">
        <v>64.69210799999999</v>
      </c>
      <c r="J204" s="5">
        <v>94.11456299999999</v>
      </c>
      <c r="K204" s="5">
        <v>20.358518999999998</v>
      </c>
      <c r="L204" s="5">
        <v>63.609561999999997</v>
      </c>
      <c r="M204" s="5">
        <v>12.017040999999999</v>
      </c>
      <c r="N204" s="5">
        <v>40.845569999999995</v>
      </c>
      <c r="O204" s="5">
        <v>32.749366999999999</v>
      </c>
      <c r="P204" s="5">
        <v>25.343129999999999</v>
      </c>
      <c r="Q204" s="5">
        <v>37.528500000000001</v>
      </c>
      <c r="R204" s="5">
        <v>53.949157999999997</v>
      </c>
      <c r="S204" s="5">
        <v>104.345642</v>
      </c>
      <c r="T204" s="6">
        <v>2198.81005859375</v>
      </c>
    </row>
    <row r="205" spans="1:20">
      <c r="A205" s="37">
        <v>42705</v>
      </c>
      <c r="B205" s="5">
        <v>8.2430339999999998</v>
      </c>
      <c r="C205" s="5">
        <v>18.122104999999998</v>
      </c>
      <c r="D205" s="5">
        <v>67.781418000000002</v>
      </c>
      <c r="E205" s="5">
        <v>44.803790999999997</v>
      </c>
      <c r="F205" s="5">
        <v>49.959765999999995</v>
      </c>
      <c r="G205" s="5">
        <v>23.987891999999999</v>
      </c>
      <c r="H205" s="5">
        <v>89.511870999999999</v>
      </c>
      <c r="I205" s="5">
        <v>65.96302</v>
      </c>
      <c r="J205" s="5">
        <v>91.430938999999995</v>
      </c>
      <c r="K205" s="5">
        <v>20.779078999999999</v>
      </c>
      <c r="L205" s="5">
        <v>65.410827999999995</v>
      </c>
      <c r="M205" s="5">
        <v>12.294357999999999</v>
      </c>
      <c r="N205" s="5">
        <v>42.890281999999999</v>
      </c>
      <c r="O205" s="5">
        <v>34.096927999999998</v>
      </c>
      <c r="P205" s="5">
        <v>26.694821999999998</v>
      </c>
      <c r="Q205" s="5">
        <v>37.493499999999997</v>
      </c>
      <c r="R205" s="5">
        <v>56.008098999999994</v>
      </c>
      <c r="S205" s="5">
        <v>107.73925</v>
      </c>
      <c r="T205" s="6">
        <v>2238.830078125</v>
      </c>
    </row>
    <row r="206" spans="1:20">
      <c r="A206" s="37">
        <v>42736</v>
      </c>
      <c r="B206" s="5">
        <v>8.2954889999999999</v>
      </c>
      <c r="C206" s="5">
        <v>18.564909</v>
      </c>
      <c r="D206" s="5">
        <v>66.477469999999997</v>
      </c>
      <c r="E206" s="5">
        <v>42.089793999999998</v>
      </c>
      <c r="F206" s="5">
        <v>52.536944999999996</v>
      </c>
      <c r="G206" s="5">
        <v>19.974442</v>
      </c>
      <c r="H206" s="5">
        <v>93.535506999999996</v>
      </c>
      <c r="I206" s="5">
        <v>68.724564000000001</v>
      </c>
      <c r="J206" s="5">
        <v>98.852866999999989</v>
      </c>
      <c r="K206" s="5">
        <v>20.299267</v>
      </c>
      <c r="L206" s="5">
        <v>67.441665999999998</v>
      </c>
      <c r="M206" s="5">
        <v>12.479237999999999</v>
      </c>
      <c r="N206" s="5">
        <v>43.839759999999998</v>
      </c>
      <c r="O206" s="5">
        <v>35.776210999999996</v>
      </c>
      <c r="P206" s="5">
        <v>27.969405999999999</v>
      </c>
      <c r="Q206" s="5">
        <v>41.173999999999999</v>
      </c>
      <c r="R206" s="5">
        <v>58.270415999999997</v>
      </c>
      <c r="S206" s="5">
        <v>113.27578699999999</v>
      </c>
      <c r="T206" s="6">
        <v>2278.8701171875</v>
      </c>
    </row>
    <row r="207" spans="1:20">
      <c r="A207" s="37">
        <v>42767</v>
      </c>
      <c r="B207" s="5">
        <v>8.3854129999999998</v>
      </c>
      <c r="C207" s="5">
        <v>20.237714999999998</v>
      </c>
      <c r="D207" s="5">
        <v>71.576537999999999</v>
      </c>
      <c r="E207" s="5">
        <v>45.090274999999998</v>
      </c>
      <c r="F207" s="5">
        <v>52.999049999999997</v>
      </c>
      <c r="G207" s="5">
        <v>22.462804999999999</v>
      </c>
      <c r="H207" s="5">
        <v>95.667479999999998</v>
      </c>
      <c r="I207" s="5">
        <v>72.013099999999994</v>
      </c>
      <c r="J207" s="5">
        <v>101.364059</v>
      </c>
      <c r="K207" s="5">
        <v>21.82827</v>
      </c>
      <c r="L207" s="5">
        <v>70.992515999999995</v>
      </c>
      <c r="M207" s="5">
        <v>13.350740999999999</v>
      </c>
      <c r="N207" s="5">
        <v>45.046073999999997</v>
      </c>
      <c r="O207" s="5">
        <v>35.950710000000001</v>
      </c>
      <c r="P207" s="5">
        <v>31.574192</v>
      </c>
      <c r="Q207" s="5">
        <v>42.251998999999998</v>
      </c>
      <c r="R207" s="5">
        <v>57.666530999999999</v>
      </c>
      <c r="S207" s="5">
        <v>116.715935</v>
      </c>
      <c r="T207" s="6">
        <v>2363.639892578125</v>
      </c>
    </row>
    <row r="208" spans="1:20">
      <c r="A208" s="37">
        <v>42795</v>
      </c>
      <c r="B208" s="5">
        <v>8.4228810000000003</v>
      </c>
      <c r="C208" s="5">
        <v>19.343906</v>
      </c>
      <c r="D208" s="5">
        <v>69.380759999999995</v>
      </c>
      <c r="E208" s="5">
        <v>45.226917</v>
      </c>
      <c r="F208" s="5">
        <v>52.410418999999997</v>
      </c>
      <c r="G208" s="5">
        <v>20.042064999999997</v>
      </c>
      <c r="H208" s="5">
        <v>95.117012000000003</v>
      </c>
      <c r="I208" s="5">
        <v>71.048416000000003</v>
      </c>
      <c r="J208" s="5">
        <v>106.40708199999999</v>
      </c>
      <c r="K208" s="5">
        <v>22.108815999999997</v>
      </c>
      <c r="L208" s="5">
        <v>70.150131000000002</v>
      </c>
      <c r="M208" s="5">
        <v>13.350740999999999</v>
      </c>
      <c r="N208" s="5">
        <v>43.612536999999996</v>
      </c>
      <c r="O208" s="5">
        <v>34.898651000000001</v>
      </c>
      <c r="P208" s="5">
        <v>33.255092999999995</v>
      </c>
      <c r="Q208" s="5">
        <v>44.326999999999998</v>
      </c>
      <c r="R208" s="5">
        <v>59.720897999999998</v>
      </c>
      <c r="S208" s="5">
        <v>113.92287399999999</v>
      </c>
      <c r="T208" s="6">
        <v>2362.719970703125</v>
      </c>
    </row>
    <row r="209" spans="1:20">
      <c r="A209" s="37">
        <v>42826</v>
      </c>
      <c r="B209" s="5">
        <v>8.1737000000000002</v>
      </c>
      <c r="C209" s="5">
        <v>19.197247000000001</v>
      </c>
      <c r="D209" s="5">
        <v>68.717277999999993</v>
      </c>
      <c r="E209" s="5">
        <v>44.697677999999996</v>
      </c>
      <c r="F209" s="5">
        <v>49.649383999999998</v>
      </c>
      <c r="G209" s="5">
        <v>19.996282999999998</v>
      </c>
      <c r="H209" s="5">
        <v>98.063003999999992</v>
      </c>
      <c r="I209" s="5">
        <v>69.055724999999995</v>
      </c>
      <c r="J209" s="5">
        <v>109.033829</v>
      </c>
      <c r="K209" s="5">
        <v>21.921403999999999</v>
      </c>
      <c r="L209" s="5">
        <v>70.274253999999999</v>
      </c>
      <c r="M209" s="5">
        <v>13.3971</v>
      </c>
      <c r="N209" s="5">
        <v>42.186447000000001</v>
      </c>
      <c r="O209" s="5">
        <v>32.808501999999997</v>
      </c>
      <c r="P209" s="5">
        <v>33.252777000000002</v>
      </c>
      <c r="Q209" s="5">
        <v>46.249499999999998</v>
      </c>
      <c r="R209" s="5">
        <v>62.078540999999994</v>
      </c>
      <c r="S209" s="5">
        <v>104.862183</v>
      </c>
      <c r="T209" s="6">
        <v>2384.199951171875</v>
      </c>
    </row>
    <row r="210" spans="1:20">
      <c r="A210" s="37">
        <v>42856</v>
      </c>
      <c r="B210" s="5">
        <v>8.1434560000000005</v>
      </c>
      <c r="C210" s="5">
        <v>18.432313999999998</v>
      </c>
      <c r="D210" s="5">
        <v>65.259284999999991</v>
      </c>
      <c r="E210" s="5">
        <v>45.893459</v>
      </c>
      <c r="F210" s="5">
        <v>47.467940999999996</v>
      </c>
      <c r="G210" s="5">
        <v>16.081887999999999</v>
      </c>
      <c r="H210" s="5">
        <v>107.59603899999999</v>
      </c>
      <c r="I210" s="5">
        <v>70.190085999999994</v>
      </c>
      <c r="J210" s="5">
        <v>110.22704299999999</v>
      </c>
      <c r="K210" s="5">
        <v>21.100638999999997</v>
      </c>
      <c r="L210" s="5">
        <v>68.505989</v>
      </c>
      <c r="M210" s="5">
        <v>16.363022000000001</v>
      </c>
      <c r="N210" s="5">
        <v>40.070868999999995</v>
      </c>
      <c r="O210" s="5">
        <v>33.534511999999999</v>
      </c>
      <c r="P210" s="5">
        <v>35.361595000000001</v>
      </c>
      <c r="Q210" s="5">
        <v>49.730998999999997</v>
      </c>
      <c r="R210" s="5">
        <v>63.329902999999995</v>
      </c>
      <c r="S210" s="5">
        <v>99.850974999999991</v>
      </c>
      <c r="T210" s="6">
        <v>2411.800048828125</v>
      </c>
    </row>
    <row r="211" spans="1:20">
      <c r="A211" s="37">
        <v>42887</v>
      </c>
      <c r="B211" s="5">
        <v>8.0073530000000002</v>
      </c>
      <c r="C211" s="5">
        <v>20.019486999999998</v>
      </c>
      <c r="D211" s="5">
        <v>72.60743699999999</v>
      </c>
      <c r="E211" s="5">
        <v>50.699599999999997</v>
      </c>
      <c r="F211" s="5">
        <v>51.922038999999998</v>
      </c>
      <c r="G211" s="5">
        <v>15.903960999999999</v>
      </c>
      <c r="H211" s="5">
        <v>108.588875</v>
      </c>
      <c r="I211" s="5">
        <v>69.441092999999995</v>
      </c>
      <c r="J211" s="5">
        <v>112.701622</v>
      </c>
      <c r="K211" s="5">
        <v>21.918248999999999</v>
      </c>
      <c r="L211" s="5">
        <v>75.005797999999999</v>
      </c>
      <c r="M211" s="5">
        <v>16.456002999999999</v>
      </c>
      <c r="N211" s="5">
        <v>43.721267999999995</v>
      </c>
      <c r="O211" s="5">
        <v>35.418628999999996</v>
      </c>
      <c r="P211" s="5">
        <v>33.476031999999996</v>
      </c>
      <c r="Q211" s="5">
        <v>48.400002000000001</v>
      </c>
      <c r="R211" s="5">
        <v>62.863021999999994</v>
      </c>
      <c r="S211" s="5">
        <v>101.619125</v>
      </c>
      <c r="T211" s="6">
        <v>2423.409912109375</v>
      </c>
    </row>
    <row r="212" spans="1:20">
      <c r="A212" s="37">
        <v>42917</v>
      </c>
      <c r="B212" s="5">
        <v>8.1132080000000002</v>
      </c>
      <c r="C212" s="5">
        <v>19.903959</v>
      </c>
      <c r="D212" s="5">
        <v>72.925208999999995</v>
      </c>
      <c r="E212" s="5">
        <v>51.889770999999996</v>
      </c>
      <c r="F212" s="5">
        <v>53.640045000000001</v>
      </c>
      <c r="G212" s="5">
        <v>16.528562999999998</v>
      </c>
      <c r="H212" s="5">
        <v>113.266678</v>
      </c>
      <c r="I212" s="5">
        <v>72.365341000000001</v>
      </c>
      <c r="J212" s="5">
        <v>113.140869</v>
      </c>
      <c r="K212" s="5">
        <v>21.637667</v>
      </c>
      <c r="L212" s="5">
        <v>75.887282999999996</v>
      </c>
      <c r="M212" s="5">
        <v>17.664635000000001</v>
      </c>
      <c r="N212" s="5">
        <v>42.561355999999996</v>
      </c>
      <c r="O212" s="5">
        <v>36.234153999999997</v>
      </c>
      <c r="P212" s="5">
        <v>34.570819999999998</v>
      </c>
      <c r="Q212" s="5">
        <v>49.388999999999996</v>
      </c>
      <c r="R212" s="5">
        <v>66.301169999999999</v>
      </c>
      <c r="S212" s="5">
        <v>95.568091999999993</v>
      </c>
      <c r="T212" s="6">
        <v>2470.300048828125</v>
      </c>
    </row>
    <row r="213" spans="1:20">
      <c r="A213" s="37">
        <v>42948</v>
      </c>
      <c r="B213" s="5">
        <v>7.4629430000000001</v>
      </c>
      <c r="C213" s="5">
        <v>19.714157</v>
      </c>
      <c r="D213" s="5">
        <v>72.599425999999994</v>
      </c>
      <c r="E213" s="5">
        <v>51.571368999999997</v>
      </c>
      <c r="F213" s="5">
        <v>51.237410999999994</v>
      </c>
      <c r="G213" s="5">
        <v>14.454663</v>
      </c>
      <c r="H213" s="5">
        <v>102.36206799999999</v>
      </c>
      <c r="I213" s="5">
        <v>74.097495999999992</v>
      </c>
      <c r="J213" s="5">
        <v>115.80270399999999</v>
      </c>
      <c r="K213" s="5">
        <v>22.133589000000001</v>
      </c>
      <c r="L213" s="5">
        <v>76.951270999999991</v>
      </c>
      <c r="M213" s="5">
        <v>17.378840999999998</v>
      </c>
      <c r="N213" s="5">
        <v>40.296782999999998</v>
      </c>
      <c r="O213" s="5">
        <v>38.036082999999998</v>
      </c>
      <c r="P213" s="5">
        <v>38.120185999999997</v>
      </c>
      <c r="Q213" s="5">
        <v>49.029998999999997</v>
      </c>
      <c r="R213" s="5">
        <v>68.188980000000001</v>
      </c>
      <c r="S213" s="5">
        <v>94.484718000000001</v>
      </c>
      <c r="T213" s="6">
        <v>2471.64990234375</v>
      </c>
    </row>
    <row r="214" spans="1:20">
      <c r="A214" s="37">
        <v>42979</v>
      </c>
      <c r="B214" s="5">
        <v>7.8636729999999995</v>
      </c>
      <c r="C214" s="5">
        <v>21.017671999999997</v>
      </c>
      <c r="D214" s="5">
        <v>76.289726000000002</v>
      </c>
      <c r="E214" s="5">
        <v>55.397242999999996</v>
      </c>
      <c r="F214" s="5">
        <v>54.035167999999999</v>
      </c>
      <c r="G214" s="5">
        <v>15.185404</v>
      </c>
      <c r="H214" s="5">
        <v>110.89149499999999</v>
      </c>
      <c r="I214" s="5">
        <v>73.061554000000001</v>
      </c>
      <c r="J214" s="5">
        <v>121.96058699999999</v>
      </c>
      <c r="K214" s="5">
        <v>23.522618999999999</v>
      </c>
      <c r="L214" s="5">
        <v>80.847983999999997</v>
      </c>
      <c r="M214" s="5">
        <v>18.264087999999997</v>
      </c>
      <c r="N214" s="5">
        <v>43.832214</v>
      </c>
      <c r="O214" s="5">
        <v>39.923339999999996</v>
      </c>
      <c r="P214" s="5">
        <v>35.964362999999999</v>
      </c>
      <c r="Q214" s="5">
        <v>48.067501</v>
      </c>
      <c r="R214" s="5">
        <v>68.295563000000001</v>
      </c>
      <c r="S214" s="5">
        <v>96.851523999999998</v>
      </c>
      <c r="T214" s="6">
        <v>2519.360107421875</v>
      </c>
    </row>
    <row r="215" spans="1:20">
      <c r="A215" s="37">
        <v>43009</v>
      </c>
      <c r="B215" s="5">
        <v>7.4761899999999999</v>
      </c>
      <c r="C215" s="5">
        <v>22.717994999999998</v>
      </c>
      <c r="D215" s="5">
        <v>80.363388</v>
      </c>
      <c r="E215" s="5">
        <v>55.976039999999998</v>
      </c>
      <c r="F215" s="5">
        <v>54.677504999999996</v>
      </c>
      <c r="G215" s="5">
        <v>13.277407</v>
      </c>
      <c r="H215" s="5">
        <v>117.901985</v>
      </c>
      <c r="I215" s="5">
        <v>69.335419000000002</v>
      </c>
      <c r="J215" s="5">
        <v>130.50767500000001</v>
      </c>
      <c r="K215" s="5">
        <v>23.100925</v>
      </c>
      <c r="L215" s="5">
        <v>85.370316000000003</v>
      </c>
      <c r="M215" s="5">
        <v>17.798178</v>
      </c>
      <c r="N215" s="5">
        <v>44.619048999999997</v>
      </c>
      <c r="O215" s="5">
        <v>40.334845999999999</v>
      </c>
      <c r="P215" s="5">
        <v>39.445979999999999</v>
      </c>
      <c r="Q215" s="5">
        <v>55.263999999999996</v>
      </c>
      <c r="R215" s="5">
        <v>76.262917000000002</v>
      </c>
      <c r="S215" s="5">
        <v>102.84632099999999</v>
      </c>
      <c r="T215" s="6">
        <v>2575.260009765625</v>
      </c>
    </row>
    <row r="216" spans="1:20">
      <c r="A216" s="37">
        <v>43040</v>
      </c>
      <c r="B216" s="5">
        <v>7.8636729999999995</v>
      </c>
      <c r="C216" s="5">
        <v>23.364946</v>
      </c>
      <c r="D216" s="5">
        <v>83.974586000000002</v>
      </c>
      <c r="E216" s="5">
        <v>57.499198999999997</v>
      </c>
      <c r="F216" s="5">
        <v>55.461562999999998</v>
      </c>
      <c r="G216" s="5">
        <v>16.844474999999999</v>
      </c>
      <c r="H216" s="5">
        <v>132.96803299999999</v>
      </c>
      <c r="I216" s="5">
        <v>72.808059999999998</v>
      </c>
      <c r="J216" s="5">
        <v>137.03507999999999</v>
      </c>
      <c r="K216" s="5">
        <v>23.891601999999999</v>
      </c>
      <c r="L216" s="5">
        <v>87.664733999999996</v>
      </c>
      <c r="M216" s="5">
        <v>17.553905</v>
      </c>
      <c r="N216" s="5">
        <v>44.881321</v>
      </c>
      <c r="O216" s="5">
        <v>40.740822000000001</v>
      </c>
      <c r="P216" s="5">
        <v>40.101711000000002</v>
      </c>
      <c r="Q216" s="5">
        <v>58.837502000000001</v>
      </c>
      <c r="R216" s="5">
        <v>77.170592999999997</v>
      </c>
      <c r="S216" s="5">
        <v>102.786255</v>
      </c>
      <c r="T216" s="6">
        <v>2647.580078125</v>
      </c>
    </row>
    <row r="217" spans="1:20">
      <c r="A217" s="37">
        <v>43070</v>
      </c>
      <c r="B217" s="5">
        <v>8.2815510000000003</v>
      </c>
      <c r="C217" s="5">
        <v>24.589012</v>
      </c>
      <c r="D217" s="5">
        <v>85.91890699999999</v>
      </c>
      <c r="E217" s="5">
        <v>56.912762000000001</v>
      </c>
      <c r="F217" s="5">
        <v>57.629306999999997</v>
      </c>
      <c r="G217" s="5">
        <v>17.828246999999998</v>
      </c>
      <c r="H217" s="5">
        <v>138.86840799999999</v>
      </c>
      <c r="I217" s="5">
        <v>74.337195999999992</v>
      </c>
      <c r="J217" s="5">
        <v>137.60072299999999</v>
      </c>
      <c r="K217" s="5">
        <v>24.083318999999999</v>
      </c>
      <c r="L217" s="5">
        <v>89.100257999999997</v>
      </c>
      <c r="M217" s="5">
        <v>17.273789999999998</v>
      </c>
      <c r="N217" s="5">
        <v>48.556304999999995</v>
      </c>
      <c r="O217" s="5">
        <v>41.914237999999997</v>
      </c>
      <c r="P217" s="5">
        <v>39.632289999999998</v>
      </c>
      <c r="Q217" s="5">
        <v>58.473498999999997</v>
      </c>
      <c r="R217" s="5">
        <v>78.82056399999999</v>
      </c>
      <c r="S217" s="5">
        <v>103.44280999999999</v>
      </c>
      <c r="T217" s="6">
        <v>2673.610107421875</v>
      </c>
    </row>
    <row r="218" spans="1:20">
      <c r="A218" s="37">
        <v>43101</v>
      </c>
      <c r="B218" s="5">
        <v>8.6386439999999993</v>
      </c>
      <c r="C218" s="5">
        <v>26.654752999999999</v>
      </c>
      <c r="D218" s="5">
        <v>92.932807999999994</v>
      </c>
      <c r="E218" s="5">
        <v>60.025718999999995</v>
      </c>
      <c r="F218" s="5">
        <v>59.278548999999998</v>
      </c>
      <c r="G218" s="5">
        <v>18.638902999999999</v>
      </c>
      <c r="H218" s="5">
        <v>148.22216799999998</v>
      </c>
      <c r="I218" s="5">
        <v>69.854941999999994</v>
      </c>
      <c r="J218" s="5">
        <v>134.79501299999998</v>
      </c>
      <c r="K218" s="5">
        <v>24.628550999999998</v>
      </c>
      <c r="L218" s="5">
        <v>89.180999999999997</v>
      </c>
      <c r="M218" s="5">
        <v>21.708949999999998</v>
      </c>
      <c r="N218" s="5">
        <v>52.646014999999998</v>
      </c>
      <c r="O218" s="5">
        <v>43.509819</v>
      </c>
      <c r="P218" s="5">
        <v>39.210746999999998</v>
      </c>
      <c r="Q218" s="5">
        <v>72.544501999999994</v>
      </c>
      <c r="R218" s="5">
        <v>87.546630999999991</v>
      </c>
      <c r="S218" s="5">
        <v>110.37403099999999</v>
      </c>
      <c r="T218" s="6">
        <v>2823.81005859375</v>
      </c>
    </row>
    <row r="219" spans="1:20">
      <c r="A219" s="37">
        <v>43132</v>
      </c>
      <c r="B219" s="5">
        <v>8.9273600000000002</v>
      </c>
      <c r="C219" s="5">
        <v>26.738049999999998</v>
      </c>
      <c r="D219" s="5">
        <v>93.279662999999999</v>
      </c>
      <c r="E219" s="5">
        <v>57.738807999999999</v>
      </c>
      <c r="F219" s="5">
        <v>55.241467</v>
      </c>
      <c r="G219" s="5">
        <v>21.124093999999999</v>
      </c>
      <c r="H219" s="5">
        <v>143.279099</v>
      </c>
      <c r="I219" s="5">
        <v>64.012343999999999</v>
      </c>
      <c r="J219" s="5">
        <v>129.08630399999998</v>
      </c>
      <c r="K219" s="5">
        <v>24.143165999999997</v>
      </c>
      <c r="L219" s="5">
        <v>87.793960999999996</v>
      </c>
      <c r="M219" s="5">
        <v>22.550719999999998</v>
      </c>
      <c r="N219" s="5">
        <v>46.747551000000001</v>
      </c>
      <c r="O219" s="5">
        <v>41.813266999999996</v>
      </c>
      <c r="P219" s="5">
        <v>41.714255999999999</v>
      </c>
      <c r="Q219" s="5">
        <v>75.622497999999993</v>
      </c>
      <c r="R219" s="5">
        <v>86.404060000000001</v>
      </c>
      <c r="S219" s="5">
        <v>105.067757</v>
      </c>
      <c r="T219" s="6">
        <v>2713.830078125</v>
      </c>
    </row>
    <row r="220" spans="1:20">
      <c r="A220" s="37">
        <v>43160</v>
      </c>
      <c r="B220" s="5">
        <v>8.9805429999999991</v>
      </c>
      <c r="C220" s="5">
        <v>24.980498999999998</v>
      </c>
      <c r="D220" s="5">
        <v>88.813544999999991</v>
      </c>
      <c r="E220" s="5">
        <v>51.837050999999995</v>
      </c>
      <c r="F220" s="5">
        <v>54.921699999999994</v>
      </c>
      <c r="G220" s="5">
        <v>21.361117999999998</v>
      </c>
      <c r="H220" s="5">
        <v>138.33595299999999</v>
      </c>
      <c r="I220" s="5">
        <v>64.631950000000003</v>
      </c>
      <c r="J220" s="5">
        <v>124.229034</v>
      </c>
      <c r="K220" s="5">
        <v>23.816544</v>
      </c>
      <c r="L220" s="5">
        <v>83.985473999999996</v>
      </c>
      <c r="M220" s="5">
        <v>22.550719999999998</v>
      </c>
      <c r="N220" s="5">
        <v>42.195704999999997</v>
      </c>
      <c r="O220" s="5">
        <v>41.005420999999998</v>
      </c>
      <c r="P220" s="5">
        <v>39.452911</v>
      </c>
      <c r="Q220" s="5">
        <v>72.366996999999998</v>
      </c>
      <c r="R220" s="5">
        <v>84.495498999999995</v>
      </c>
      <c r="S220" s="5">
        <v>104.46809399999999</v>
      </c>
      <c r="T220" s="6">
        <v>2640.8701171875</v>
      </c>
    </row>
    <row r="221" spans="1:20">
      <c r="A221" s="37">
        <v>43191</v>
      </c>
      <c r="B221" s="5">
        <v>8.8514230000000005</v>
      </c>
      <c r="C221" s="5">
        <v>25.015712999999998</v>
      </c>
      <c r="D221" s="5">
        <v>87.852492999999996</v>
      </c>
      <c r="E221" s="5">
        <v>52.428382999999997</v>
      </c>
      <c r="F221" s="5">
        <v>55.183315</v>
      </c>
      <c r="G221" s="5">
        <v>22.602919</v>
      </c>
      <c r="H221" s="5">
        <v>121.009018</v>
      </c>
      <c r="I221" s="5">
        <v>58.974193999999997</v>
      </c>
      <c r="J221" s="5">
        <v>115.278267</v>
      </c>
      <c r="K221" s="5">
        <v>24.568151</v>
      </c>
      <c r="L221" s="5">
        <v>88.910445999999993</v>
      </c>
      <c r="M221" s="5">
        <v>21.942501</v>
      </c>
      <c r="N221" s="5">
        <v>41.833424000000001</v>
      </c>
      <c r="O221" s="5">
        <v>40.500518999999997</v>
      </c>
      <c r="P221" s="5">
        <v>38.860335999999997</v>
      </c>
      <c r="Q221" s="5">
        <v>78.306502999999992</v>
      </c>
      <c r="R221" s="5">
        <v>86.578475999999995</v>
      </c>
      <c r="S221" s="5">
        <v>98.701003999999998</v>
      </c>
      <c r="T221" s="6">
        <v>2648.050048828125</v>
      </c>
    </row>
    <row r="222" spans="1:20">
      <c r="A222" s="37">
        <v>43221</v>
      </c>
      <c r="B222" s="5">
        <v>8.1917849999999994</v>
      </c>
      <c r="C222" s="5">
        <v>24.279958999999998</v>
      </c>
      <c r="D222" s="5">
        <v>86.861243999999999</v>
      </c>
      <c r="E222" s="5">
        <v>51.215011999999994</v>
      </c>
      <c r="F222" s="5">
        <v>56.788669999999996</v>
      </c>
      <c r="G222" s="5">
        <v>25.396460999999999</v>
      </c>
      <c r="H222" s="5">
        <v>133.688446</v>
      </c>
      <c r="I222" s="5">
        <v>60.202819999999996</v>
      </c>
      <c r="J222" s="5">
        <v>113.364983</v>
      </c>
      <c r="K222" s="5">
        <v>24.111822</v>
      </c>
      <c r="L222" s="5">
        <v>88.83753999999999</v>
      </c>
      <c r="M222" s="5">
        <v>21.323792999999998</v>
      </c>
      <c r="N222" s="5">
        <v>43.467780999999995</v>
      </c>
      <c r="O222" s="5">
        <v>42.514956999999995</v>
      </c>
      <c r="P222" s="5">
        <v>43.941859999999998</v>
      </c>
      <c r="Q222" s="5">
        <v>81.481003000000001</v>
      </c>
      <c r="R222" s="5">
        <v>91.503592999999995</v>
      </c>
      <c r="S222" s="5">
        <v>96.21578199999999</v>
      </c>
      <c r="T222" s="6">
        <v>2705.27001953125</v>
      </c>
    </row>
    <row r="223" spans="1:20">
      <c r="A223" s="37">
        <v>43252</v>
      </c>
      <c r="B223" s="5">
        <v>7.6932229999999997</v>
      </c>
      <c r="C223" s="5">
        <v>23.665578999999997</v>
      </c>
      <c r="D223" s="5">
        <v>84.580367999999993</v>
      </c>
      <c r="E223" s="5">
        <v>51.634837999999995</v>
      </c>
      <c r="F223" s="5">
        <v>56.685939999999995</v>
      </c>
      <c r="G223" s="5">
        <v>27.229718999999999</v>
      </c>
      <c r="H223" s="5">
        <v>125.00600399999999</v>
      </c>
      <c r="I223" s="5">
        <v>64.226219</v>
      </c>
      <c r="J223" s="5">
        <v>108.129852</v>
      </c>
      <c r="K223" s="5">
        <v>24.584363999999997</v>
      </c>
      <c r="L223" s="5">
        <v>88.566390999999996</v>
      </c>
      <c r="M223" s="5">
        <v>24.276322999999998</v>
      </c>
      <c r="N223" s="5">
        <v>44.971244999999996</v>
      </c>
      <c r="O223" s="5">
        <v>42.129050999999997</v>
      </c>
      <c r="P223" s="5">
        <v>43.695847000000001</v>
      </c>
      <c r="Q223" s="5">
        <v>84.989998</v>
      </c>
      <c r="R223" s="5">
        <v>91.686370999999994</v>
      </c>
      <c r="S223" s="5">
        <v>96.175460999999999</v>
      </c>
      <c r="T223" s="6">
        <v>2718.3701171875</v>
      </c>
    </row>
    <row r="224" spans="1:20">
      <c r="A224" s="37">
        <v>43282</v>
      </c>
      <c r="B224" s="5">
        <v>7.9309989999999999</v>
      </c>
      <c r="C224" s="5">
        <v>25.923835999999998</v>
      </c>
      <c r="D224" s="5">
        <v>93.306252000000001</v>
      </c>
      <c r="E224" s="5">
        <v>55.469662</v>
      </c>
      <c r="F224" s="5">
        <v>58.168017999999996</v>
      </c>
      <c r="G224" s="5">
        <v>29.190507999999998</v>
      </c>
      <c r="H224" s="5">
        <v>130.11206099999998</v>
      </c>
      <c r="I224" s="5">
        <v>66.546463000000003</v>
      </c>
      <c r="J224" s="5">
        <v>122.235878</v>
      </c>
      <c r="K224" s="5">
        <v>27.057713</v>
      </c>
      <c r="L224" s="5">
        <v>89.940078999999997</v>
      </c>
      <c r="M224" s="5">
        <v>23.245283000000001</v>
      </c>
      <c r="N224" s="5">
        <v>46.471911999999996</v>
      </c>
      <c r="O224" s="5">
        <v>43.090167999999998</v>
      </c>
      <c r="P224" s="5">
        <v>44.918602</v>
      </c>
      <c r="Q224" s="5">
        <v>88.872001999999995</v>
      </c>
      <c r="R224" s="5">
        <v>98.631889000000001</v>
      </c>
      <c r="S224" s="5">
        <v>99.776023999999992</v>
      </c>
      <c r="T224" s="6">
        <v>2816.2900390625</v>
      </c>
    </row>
    <row r="225" spans="1:20">
      <c r="A225" s="37">
        <v>43313</v>
      </c>
      <c r="B225" s="5">
        <v>7.1793169999999993</v>
      </c>
      <c r="C225" s="5">
        <v>25.965817999999999</v>
      </c>
      <c r="D225" s="5">
        <v>93.511336999999997</v>
      </c>
      <c r="E225" s="5">
        <v>54.968112999999995</v>
      </c>
      <c r="F225" s="5">
        <v>60.134349999999998</v>
      </c>
      <c r="G225" s="5">
        <v>26.854087999999997</v>
      </c>
      <c r="H225" s="5">
        <v>129.222397</v>
      </c>
      <c r="I225" s="5">
        <v>68.869011</v>
      </c>
      <c r="J225" s="5">
        <v>114.92481199999999</v>
      </c>
      <c r="K225" s="5">
        <v>28.135137999999998</v>
      </c>
      <c r="L225" s="5">
        <v>96.122115999999991</v>
      </c>
      <c r="M225" s="5">
        <v>21.872582999999999</v>
      </c>
      <c r="N225" s="5">
        <v>47.43721</v>
      </c>
      <c r="O225" s="5">
        <v>44.443821</v>
      </c>
      <c r="P225" s="5">
        <v>53.732848999999995</v>
      </c>
      <c r="Q225" s="5">
        <v>100.635498</v>
      </c>
      <c r="R225" s="5">
        <v>104.443039</v>
      </c>
      <c r="S225" s="5">
        <v>100.843102</v>
      </c>
      <c r="T225" s="6">
        <v>2901.52001953125</v>
      </c>
    </row>
    <row r="226" spans="1:20">
      <c r="A226" s="37">
        <v>43344</v>
      </c>
      <c r="B226" s="5">
        <v>6.955139</v>
      </c>
      <c r="C226" s="5">
        <v>24.731749999999998</v>
      </c>
      <c r="D226" s="5">
        <v>92.09125499999999</v>
      </c>
      <c r="E226" s="5">
        <v>55.702824</v>
      </c>
      <c r="F226" s="5">
        <v>60.552546999999997</v>
      </c>
      <c r="G226" s="5">
        <v>25.516893</v>
      </c>
      <c r="H226" s="5">
        <v>135.090439</v>
      </c>
      <c r="I226" s="5">
        <v>69.101494000000002</v>
      </c>
      <c r="J226" s="5">
        <v>119.75793499999999</v>
      </c>
      <c r="K226" s="5">
        <v>30.117372999999997</v>
      </c>
      <c r="L226" s="5">
        <v>96.584655999999995</v>
      </c>
      <c r="M226" s="5">
        <v>21.731773</v>
      </c>
      <c r="N226" s="5">
        <v>42.947078999999995</v>
      </c>
      <c r="O226" s="5">
        <v>44.664195999999997</v>
      </c>
      <c r="P226" s="5">
        <v>53.473582999999998</v>
      </c>
      <c r="Q226" s="5">
        <v>100.150002</v>
      </c>
      <c r="R226" s="5">
        <v>106.749054</v>
      </c>
      <c r="S226" s="5">
        <v>105.22406799999999</v>
      </c>
      <c r="T226" s="6">
        <v>2913.97998046875</v>
      </c>
    </row>
    <row r="227" spans="1:20">
      <c r="A227" s="37">
        <v>43374</v>
      </c>
      <c r="B227" s="5">
        <v>6.8308010000000001</v>
      </c>
      <c r="C227" s="5">
        <v>23.197924</v>
      </c>
      <c r="D227" s="5">
        <v>88.973686000000001</v>
      </c>
      <c r="E227" s="5">
        <v>50.826701999999997</v>
      </c>
      <c r="F227" s="5">
        <v>54.837001999999998</v>
      </c>
      <c r="G227" s="5">
        <v>25.458058999999999</v>
      </c>
      <c r="H227" s="5">
        <v>122.26373299999999</v>
      </c>
      <c r="I227" s="5">
        <v>73.626342999999991</v>
      </c>
      <c r="J227" s="5">
        <v>95.733382999999989</v>
      </c>
      <c r="K227" s="5">
        <v>29.427139</v>
      </c>
      <c r="L227" s="5">
        <v>93.174408</v>
      </c>
      <c r="M227" s="5">
        <v>24.782671000000001</v>
      </c>
      <c r="N227" s="5">
        <v>43.494544999999995</v>
      </c>
      <c r="O227" s="5">
        <v>40.741389999999996</v>
      </c>
      <c r="P227" s="5">
        <v>51.843834000000001</v>
      </c>
      <c r="Q227" s="5">
        <v>79.900497000000001</v>
      </c>
      <c r="R227" s="5">
        <v>99.692786999999996</v>
      </c>
      <c r="S227" s="5">
        <v>80.325485</v>
      </c>
      <c r="T227" s="6">
        <v>2711.739990234375</v>
      </c>
    </row>
    <row r="228" spans="1:20">
      <c r="A228" s="37">
        <v>43405</v>
      </c>
      <c r="B228" s="5">
        <v>6.4267050000000001</v>
      </c>
      <c r="C228" s="5">
        <v>23.957127</v>
      </c>
      <c r="D228" s="5">
        <v>91.38015</v>
      </c>
      <c r="E228" s="5">
        <v>50.306477000000001</v>
      </c>
      <c r="F228" s="5">
        <v>55.195929999999997</v>
      </c>
      <c r="G228" s="5">
        <v>25.406096999999999</v>
      </c>
      <c r="H228" s="5">
        <v>139.812546</v>
      </c>
      <c r="I228" s="5">
        <v>79.160026999999999</v>
      </c>
      <c r="J228" s="5">
        <v>107.50700399999999</v>
      </c>
      <c r="K228" s="5">
        <v>31.593515</v>
      </c>
      <c r="L228" s="5">
        <v>102.194519</v>
      </c>
      <c r="M228" s="5">
        <v>25.230708999999997</v>
      </c>
      <c r="N228" s="5">
        <v>44.352505000000001</v>
      </c>
      <c r="O228" s="5">
        <v>40.981749999999998</v>
      </c>
      <c r="P228" s="5">
        <v>42.302268999999995</v>
      </c>
      <c r="Q228" s="5">
        <v>84.508499</v>
      </c>
      <c r="R228" s="5">
        <v>103.500946</v>
      </c>
      <c r="S228" s="5">
        <v>86.477074000000002</v>
      </c>
      <c r="T228" s="6">
        <v>2760.169921875</v>
      </c>
    </row>
    <row r="229" spans="1:20">
      <c r="A229" s="37">
        <v>43435</v>
      </c>
      <c r="B229" s="5">
        <v>5.859413</v>
      </c>
      <c r="C229" s="5">
        <v>20.785340999999999</v>
      </c>
      <c r="D229" s="5">
        <v>80.227813999999995</v>
      </c>
      <c r="E229" s="5">
        <v>40.700431999999999</v>
      </c>
      <c r="F229" s="5">
        <v>48.416820999999999</v>
      </c>
      <c r="G229" s="5">
        <v>22.109686</v>
      </c>
      <c r="H229" s="5">
        <v>134.65801999999999</v>
      </c>
      <c r="I229" s="5">
        <v>76.990684999999999</v>
      </c>
      <c r="J229" s="5">
        <v>98.889182999999989</v>
      </c>
      <c r="K229" s="5">
        <v>30.060533999999997</v>
      </c>
      <c r="L229" s="5">
        <v>86.765677999999994</v>
      </c>
      <c r="M229" s="5">
        <v>20.961327000000001</v>
      </c>
      <c r="N229" s="5">
        <v>37.956843999999997</v>
      </c>
      <c r="O229" s="5">
        <v>36.846527000000002</v>
      </c>
      <c r="P229" s="5">
        <v>37.496032999999997</v>
      </c>
      <c r="Q229" s="5">
        <v>75.098502999999994</v>
      </c>
      <c r="R229" s="5">
        <v>95.211524999999995</v>
      </c>
      <c r="S229" s="5">
        <v>80.108184999999992</v>
      </c>
      <c r="T229" s="6">
        <v>2506.85009765625</v>
      </c>
    </row>
    <row r="230" spans="1:20">
      <c r="A230" s="37">
        <v>43466</v>
      </c>
      <c r="B230" s="5">
        <v>6.4966439999999999</v>
      </c>
      <c r="C230" s="5">
        <v>24.150397999999999</v>
      </c>
      <c r="D230" s="5">
        <v>85.060218999999989</v>
      </c>
      <c r="E230" s="5">
        <v>50.394725999999999</v>
      </c>
      <c r="F230" s="5">
        <v>54.225383999999998</v>
      </c>
      <c r="G230" s="5">
        <v>19.757808999999998</v>
      </c>
      <c r="H230" s="5">
        <v>148.816147</v>
      </c>
      <c r="I230" s="5">
        <v>80.801704000000001</v>
      </c>
      <c r="J230" s="5">
        <v>104.422478</v>
      </c>
      <c r="K230" s="5">
        <v>29.234136999999997</v>
      </c>
      <c r="L230" s="5">
        <v>93.483367999999999</v>
      </c>
      <c r="M230" s="5">
        <v>24.177472999999999</v>
      </c>
      <c r="N230" s="5">
        <v>40.287970999999999</v>
      </c>
      <c r="O230" s="5">
        <v>41.730239999999995</v>
      </c>
      <c r="P230" s="5">
        <v>39.564090999999998</v>
      </c>
      <c r="Q230" s="5">
        <v>85.936500999999993</v>
      </c>
      <c r="R230" s="5">
        <v>97.892478999999994</v>
      </c>
      <c r="S230" s="5">
        <v>94.731605999999999</v>
      </c>
      <c r="T230" s="6">
        <v>2704.10009765625</v>
      </c>
    </row>
    <row r="231" spans="1:20">
      <c r="A231" s="37">
        <v>43497</v>
      </c>
      <c r="B231" s="5">
        <v>6.7297769999999995</v>
      </c>
      <c r="C231" s="5">
        <v>24.667836999999999</v>
      </c>
      <c r="D231" s="5">
        <v>86.463500999999994</v>
      </c>
      <c r="E231" s="5">
        <v>50.019473999999995</v>
      </c>
      <c r="F231" s="5">
        <v>58.342700999999998</v>
      </c>
      <c r="G231" s="5">
        <v>18.623425999999998</v>
      </c>
      <c r="H231" s="5">
        <v>148.852417</v>
      </c>
      <c r="I231" s="5">
        <v>83.196738999999994</v>
      </c>
      <c r="J231" s="5">
        <v>109.36940799999999</v>
      </c>
      <c r="K231" s="5">
        <v>30.114667999999998</v>
      </c>
      <c r="L231" s="5">
        <v>98.472449999999995</v>
      </c>
      <c r="M231" s="5">
        <v>30.946013999999998</v>
      </c>
      <c r="N231" s="5">
        <v>41.467742999999999</v>
      </c>
      <c r="O231" s="5">
        <v>42.947547999999998</v>
      </c>
      <c r="P231" s="5">
        <v>41.159102999999995</v>
      </c>
      <c r="Q231" s="5">
        <v>81.991501</v>
      </c>
      <c r="R231" s="5">
        <v>105.01669299999999</v>
      </c>
      <c r="S231" s="5">
        <v>97.346213999999989</v>
      </c>
      <c r="T231" s="6">
        <v>2784.489990234375</v>
      </c>
    </row>
    <row r="232" spans="1:20">
      <c r="A232" s="37">
        <v>43525</v>
      </c>
      <c r="B232" s="5">
        <v>6.3660439999999996</v>
      </c>
      <c r="C232" s="5">
        <v>23.523398999999998</v>
      </c>
      <c r="D232" s="5">
        <v>83.870277000000002</v>
      </c>
      <c r="E232" s="5">
        <v>48.985465999999995</v>
      </c>
      <c r="F232" s="5">
        <v>56.007190999999999</v>
      </c>
      <c r="G232" s="5">
        <v>18.052472999999999</v>
      </c>
      <c r="H232" s="5">
        <v>145.04129</v>
      </c>
      <c r="I232" s="5">
        <v>87.839882000000003</v>
      </c>
      <c r="J232" s="5">
        <v>112.458168</v>
      </c>
      <c r="K232" s="5">
        <v>29.503343999999998</v>
      </c>
      <c r="L232" s="5">
        <v>99.898246999999998</v>
      </c>
      <c r="M232" s="5">
        <v>30.946013999999998</v>
      </c>
      <c r="N232" s="5">
        <v>40.162796</v>
      </c>
      <c r="O232" s="5">
        <v>40.664702999999996</v>
      </c>
      <c r="P232" s="5">
        <v>45.346244999999996</v>
      </c>
      <c r="Q232" s="5">
        <v>89.037497999999999</v>
      </c>
      <c r="R232" s="5">
        <v>111.02886199999999</v>
      </c>
      <c r="S232" s="5">
        <v>100.59788499999999</v>
      </c>
      <c r="T232" s="6">
        <v>2834.39990234375</v>
      </c>
    </row>
    <row r="233" spans="1:20">
      <c r="A233" s="37">
        <v>43556</v>
      </c>
      <c r="B233" s="5">
        <v>6.8116659999999998</v>
      </c>
      <c r="C233" s="5">
        <v>26.072695</v>
      </c>
      <c r="D233" s="5">
        <v>96.148810999999995</v>
      </c>
      <c r="E233" s="5">
        <v>55.661732000000001</v>
      </c>
      <c r="F233" s="5">
        <v>59.113707999999995</v>
      </c>
      <c r="G233" s="5">
        <v>17.967112</v>
      </c>
      <c r="H233" s="5">
        <v>151.02046199999998</v>
      </c>
      <c r="I233" s="5">
        <v>89.891295999999997</v>
      </c>
      <c r="J233" s="5">
        <v>121.67742899999999</v>
      </c>
      <c r="K233" s="5">
        <v>28.211221999999999</v>
      </c>
      <c r="L233" s="5">
        <v>107.146164</v>
      </c>
      <c r="M233" s="5">
        <v>31.228627999999997</v>
      </c>
      <c r="N233" s="5">
        <v>40.237601999999995</v>
      </c>
      <c r="O233" s="5">
        <v>42.640674999999995</v>
      </c>
      <c r="P233" s="5">
        <v>47.905411000000001</v>
      </c>
      <c r="Q233" s="5">
        <v>96.325995999999989</v>
      </c>
      <c r="R233" s="5">
        <v>122.94704399999999</v>
      </c>
      <c r="S233" s="5">
        <v>100.00612599999999</v>
      </c>
      <c r="T233" s="6">
        <v>2945.830078125</v>
      </c>
    </row>
    <row r="234" spans="1:20">
      <c r="A234" s="37">
        <v>43586</v>
      </c>
      <c r="B234" s="5">
        <v>5.944293</v>
      </c>
      <c r="C234" s="5">
        <v>22.679316999999998</v>
      </c>
      <c r="D234" s="5">
        <v>88.460869000000002</v>
      </c>
      <c r="E234" s="5">
        <v>48.930363</v>
      </c>
      <c r="F234" s="5">
        <v>54.867999999999995</v>
      </c>
      <c r="G234" s="5">
        <v>15.700232999999999</v>
      </c>
      <c r="H234" s="5">
        <v>127.806175</v>
      </c>
      <c r="I234" s="5">
        <v>87.490814</v>
      </c>
      <c r="J234" s="5">
        <v>105.592102</v>
      </c>
      <c r="K234" s="5">
        <v>28.843387999999997</v>
      </c>
      <c r="L234" s="5">
        <v>105.21404299999999</v>
      </c>
      <c r="M234" s="5">
        <v>30.020493999999999</v>
      </c>
      <c r="N234" s="5">
        <v>36.879619999999996</v>
      </c>
      <c r="O234" s="5">
        <v>41.312053999999996</v>
      </c>
      <c r="P234" s="5">
        <v>41.793979999999998</v>
      </c>
      <c r="Q234" s="5">
        <v>88.753501999999997</v>
      </c>
      <c r="R234" s="5">
        <v>116.43253299999999</v>
      </c>
      <c r="S234" s="5">
        <v>90.538094000000001</v>
      </c>
      <c r="T234" s="6">
        <v>2752.06005859375</v>
      </c>
    </row>
    <row r="235" spans="1:20">
      <c r="A235" s="37">
        <v>43617</v>
      </c>
      <c r="B235" s="5">
        <v>6.0556979999999996</v>
      </c>
      <c r="C235" s="5">
        <v>24.725572999999997</v>
      </c>
      <c r="D235" s="5">
        <v>93.336417999999995</v>
      </c>
      <c r="E235" s="5">
        <v>55.489139999999999</v>
      </c>
      <c r="F235" s="5">
        <v>57.014046</v>
      </c>
      <c r="G235" s="5">
        <v>16.379531999999998</v>
      </c>
      <c r="H235" s="5">
        <v>151.09333799999999</v>
      </c>
      <c r="I235" s="5">
        <v>93.220917</v>
      </c>
      <c r="J235" s="5">
        <v>120.025734</v>
      </c>
      <c r="K235" s="5">
        <v>30.360737</v>
      </c>
      <c r="L235" s="5">
        <v>113.22135899999999</v>
      </c>
      <c r="M235" s="5">
        <v>30.775252999999999</v>
      </c>
      <c r="N235" s="5">
        <v>39.711825999999995</v>
      </c>
      <c r="O235" s="5">
        <v>44.116588999999998</v>
      </c>
      <c r="P235" s="5">
        <v>47.430858999999998</v>
      </c>
      <c r="Q235" s="5">
        <v>94.681502999999992</v>
      </c>
      <c r="R235" s="5">
        <v>126.576927</v>
      </c>
      <c r="S235" s="5">
        <v>99.484313999999998</v>
      </c>
      <c r="T235" s="6">
        <v>2941.760009765625</v>
      </c>
    </row>
    <row r="236" spans="1:20">
      <c r="A236" s="37">
        <v>43647</v>
      </c>
      <c r="B236" s="5">
        <v>5.9522509999999995</v>
      </c>
      <c r="C236" s="5">
        <v>26.299298999999998</v>
      </c>
      <c r="D236" s="5">
        <v>96.842804000000001</v>
      </c>
      <c r="E236" s="5">
        <v>56.384518</v>
      </c>
      <c r="F236" s="5">
        <v>56.530434</v>
      </c>
      <c r="G236" s="5">
        <v>17.660083999999998</v>
      </c>
      <c r="H236" s="5">
        <v>151.732834</v>
      </c>
      <c r="I236" s="5">
        <v>100.353821</v>
      </c>
      <c r="J236" s="5">
        <v>123.137947</v>
      </c>
      <c r="K236" s="5">
        <v>27.220929999999999</v>
      </c>
      <c r="L236" s="5">
        <v>114.07436399999999</v>
      </c>
      <c r="M236" s="5">
        <v>33.662196999999999</v>
      </c>
      <c r="N236" s="5">
        <v>40.626582999999997</v>
      </c>
      <c r="O236" s="5">
        <v>44.177059</v>
      </c>
      <c r="P236" s="5">
        <v>51.054310000000001</v>
      </c>
      <c r="Q236" s="5">
        <v>93.338996999999992</v>
      </c>
      <c r="R236" s="5">
        <v>128.759613</v>
      </c>
      <c r="S236" s="5">
        <v>106.94381</v>
      </c>
      <c r="T236" s="6">
        <v>2980.3798828125</v>
      </c>
    </row>
    <row r="237" spans="1:20">
      <c r="A237" s="37">
        <v>43678</v>
      </c>
      <c r="B237" s="5">
        <v>5.2838159999999998</v>
      </c>
      <c r="C237" s="5">
        <v>23.581934</v>
      </c>
      <c r="D237" s="5">
        <v>92.366126999999992</v>
      </c>
      <c r="E237" s="5">
        <v>50.988521999999996</v>
      </c>
      <c r="F237" s="5">
        <v>52.402163999999999</v>
      </c>
      <c r="G237" s="5">
        <v>11.467789</v>
      </c>
      <c r="H237" s="5">
        <v>141.89514199999999</v>
      </c>
      <c r="I237" s="5">
        <v>102.877663</v>
      </c>
      <c r="J237" s="5">
        <v>110.848328</v>
      </c>
      <c r="K237" s="5">
        <v>24.915146</v>
      </c>
      <c r="L237" s="5">
        <v>110.75076299999999</v>
      </c>
      <c r="M237" s="5">
        <v>27.588422999999999</v>
      </c>
      <c r="N237" s="5">
        <v>39.082408999999998</v>
      </c>
      <c r="O237" s="5">
        <v>41.359584999999996</v>
      </c>
      <c r="P237" s="5">
        <v>50.023841999999995</v>
      </c>
      <c r="Q237" s="5">
        <v>88.814498999999998</v>
      </c>
      <c r="R237" s="5">
        <v>130.261978</v>
      </c>
      <c r="S237" s="5">
        <v>97.774535999999998</v>
      </c>
      <c r="T237" s="6">
        <v>2926.4599609375</v>
      </c>
    </row>
    <row r="238" spans="1:20">
      <c r="A238" s="37">
        <v>43709</v>
      </c>
      <c r="B238" s="5">
        <v>5.9614029999999998</v>
      </c>
      <c r="C238" s="5">
        <v>25.004905999999998</v>
      </c>
      <c r="D238" s="5">
        <v>98.949280000000002</v>
      </c>
      <c r="E238" s="5">
        <v>55.147887999999995</v>
      </c>
      <c r="F238" s="5">
        <v>56.311512</v>
      </c>
      <c r="G238" s="5">
        <v>12.073810999999999</v>
      </c>
      <c r="H238" s="5">
        <v>154.50825499999999</v>
      </c>
      <c r="I238" s="5">
        <v>106.428703</v>
      </c>
      <c r="J238" s="5">
        <v>121.111786</v>
      </c>
      <c r="K238" s="5">
        <v>25.417052999999999</v>
      </c>
      <c r="L238" s="5">
        <v>108.827789</v>
      </c>
      <c r="M238" s="5">
        <v>26.908161</v>
      </c>
      <c r="N238" s="5">
        <v>42.806754999999995</v>
      </c>
      <c r="O238" s="5">
        <v>44.465949999999999</v>
      </c>
      <c r="P238" s="5">
        <v>53.877589999999998</v>
      </c>
      <c r="Q238" s="5">
        <v>86.795501999999999</v>
      </c>
      <c r="R238" s="5">
        <v>131.80497700000001</v>
      </c>
      <c r="S238" s="5">
        <v>106.145523</v>
      </c>
      <c r="T238" s="6">
        <v>2976.739990234375</v>
      </c>
    </row>
    <row r="239" spans="1:20">
      <c r="A239" s="37">
        <v>43739</v>
      </c>
      <c r="B239" s="5">
        <v>7.0091159999999997</v>
      </c>
      <c r="C239" s="5">
        <v>26.981725999999998</v>
      </c>
      <c r="D239" s="5">
        <v>105.027985</v>
      </c>
      <c r="E239" s="5">
        <v>57.36721</v>
      </c>
      <c r="F239" s="5">
        <v>56.494761999999994</v>
      </c>
      <c r="G239" s="5">
        <v>12.033538</v>
      </c>
      <c r="H239" s="5">
        <v>160.24137899999999</v>
      </c>
      <c r="I239" s="5">
        <v>106.53991699999999</v>
      </c>
      <c r="J239" s="5">
        <v>126.915359</v>
      </c>
      <c r="K239" s="5">
        <v>27.143125999999999</v>
      </c>
      <c r="L239" s="5">
        <v>107.907715</v>
      </c>
      <c r="M239" s="5">
        <v>29.194604999999999</v>
      </c>
      <c r="N239" s="5">
        <v>43.816676999999999</v>
      </c>
      <c r="O239" s="5">
        <v>43.557696999999997</v>
      </c>
      <c r="P239" s="5">
        <v>59.840992</v>
      </c>
      <c r="Q239" s="5">
        <v>88.832999999999998</v>
      </c>
      <c r="R239" s="5">
        <v>135.91941800000001</v>
      </c>
      <c r="S239" s="5">
        <v>97.612701000000001</v>
      </c>
      <c r="T239" s="6">
        <v>3037.56005859375</v>
      </c>
    </row>
    <row r="240" spans="1:20">
      <c r="A240" s="37">
        <v>43770</v>
      </c>
      <c r="B240" s="5">
        <v>7.1553100000000001</v>
      </c>
      <c r="C240" s="5">
        <v>28.750591</v>
      </c>
      <c r="D240" s="5">
        <v>111.66619899999999</v>
      </c>
      <c r="E240" s="5">
        <v>59.969726999999999</v>
      </c>
      <c r="F240" s="5">
        <v>59.374145999999996</v>
      </c>
      <c r="G240" s="5">
        <v>12.160541</v>
      </c>
      <c r="H240" s="5">
        <v>154.637451</v>
      </c>
      <c r="I240" s="5">
        <v>105.11069499999999</v>
      </c>
      <c r="J240" s="5">
        <v>132.29122899999999</v>
      </c>
      <c r="K240" s="5">
        <v>27.249236999999997</v>
      </c>
      <c r="L240" s="5">
        <v>110.943451</v>
      </c>
      <c r="M240" s="5">
        <v>30.523675999999998</v>
      </c>
      <c r="N240" s="5">
        <v>46.218406999999999</v>
      </c>
      <c r="O240" s="5">
        <v>44.565624</v>
      </c>
      <c r="P240" s="5">
        <v>64.288887000000003</v>
      </c>
      <c r="Q240" s="5">
        <v>90.04000099999999</v>
      </c>
      <c r="R240" s="5">
        <v>143.513138</v>
      </c>
      <c r="S240" s="5">
        <v>98.138251999999994</v>
      </c>
      <c r="T240" s="6">
        <v>3140.97998046875</v>
      </c>
    </row>
    <row r="241" spans="1:20">
      <c r="A241" s="37">
        <v>43800</v>
      </c>
      <c r="B241" s="5">
        <v>7.7319569999999995</v>
      </c>
      <c r="C241" s="5">
        <v>30.390029999999999</v>
      </c>
      <c r="D241" s="5">
        <v>118.14110599999999</v>
      </c>
      <c r="E241" s="5">
        <v>64.233588999999995</v>
      </c>
      <c r="F241" s="5">
        <v>59.798514999999995</v>
      </c>
      <c r="G241" s="5">
        <v>13.494076</v>
      </c>
      <c r="H241" s="5">
        <v>159.43156399999998</v>
      </c>
      <c r="I241" s="5">
        <v>107.55635099999999</v>
      </c>
      <c r="J241" s="5">
        <v>139.60701</v>
      </c>
      <c r="K241" s="5">
        <v>27.983984</v>
      </c>
      <c r="L241" s="5">
        <v>114.97959899999999</v>
      </c>
      <c r="M241" s="5">
        <v>30.447965999999997</v>
      </c>
      <c r="N241" s="5">
        <v>46.095248999999995</v>
      </c>
      <c r="O241" s="5">
        <v>43.277999999999999</v>
      </c>
      <c r="P241" s="5">
        <v>70.851685000000003</v>
      </c>
      <c r="Q241" s="5">
        <v>92.391998000000001</v>
      </c>
      <c r="R241" s="5">
        <v>150.013443</v>
      </c>
      <c r="S241" s="5">
        <v>98.994552999999996</v>
      </c>
      <c r="T241" s="6">
        <v>3230.780029296875</v>
      </c>
    </row>
    <row r="242" spans="1:20">
      <c r="A242" s="37">
        <v>43831</v>
      </c>
      <c r="B242" s="5">
        <v>7.1471869999999997</v>
      </c>
      <c r="C242" s="5">
        <v>28.482440999999998</v>
      </c>
      <c r="D242" s="5">
        <v>112.174713</v>
      </c>
      <c r="E242" s="5">
        <v>59.827537999999997</v>
      </c>
      <c r="F242" s="5">
        <v>58.810890000000001</v>
      </c>
      <c r="G242" s="5">
        <v>12.972959999999999</v>
      </c>
      <c r="H242" s="5">
        <v>146.556793</v>
      </c>
      <c r="I242" s="5">
        <v>107.315231</v>
      </c>
      <c r="J242" s="5">
        <v>134.20770299999998</v>
      </c>
      <c r="K242" s="5">
        <v>26.598354</v>
      </c>
      <c r="L242" s="5">
        <v>119.948601</v>
      </c>
      <c r="M242" s="5">
        <v>30.296526</v>
      </c>
      <c r="N242" s="5">
        <v>40.217673999999995</v>
      </c>
      <c r="O242" s="5">
        <v>42.607208</v>
      </c>
      <c r="P242" s="5">
        <v>74.678390999999991</v>
      </c>
      <c r="Q242" s="5">
        <v>100.435997</v>
      </c>
      <c r="R242" s="5">
        <v>161.93272399999998</v>
      </c>
      <c r="S242" s="5">
        <v>106.151039</v>
      </c>
      <c r="T242" s="6">
        <v>3225.52001953125</v>
      </c>
    </row>
    <row r="243" spans="1:20">
      <c r="A243" s="37">
        <v>43862</v>
      </c>
      <c r="B243" s="5">
        <v>6.2537880000000001</v>
      </c>
      <c r="C243" s="5">
        <v>24.725852999999997</v>
      </c>
      <c r="D243" s="5">
        <v>99.034621999999999</v>
      </c>
      <c r="E243" s="5">
        <v>51.361743999999995</v>
      </c>
      <c r="F243" s="5">
        <v>52.917392999999997</v>
      </c>
      <c r="G243" s="5">
        <v>10.760643999999999</v>
      </c>
      <c r="H243" s="5">
        <v>144.61601299999998</v>
      </c>
      <c r="I243" s="5">
        <v>98.086158999999995</v>
      </c>
      <c r="J243" s="5">
        <v>121.04214499999999</v>
      </c>
      <c r="K243" s="5">
        <v>24.113789000000001</v>
      </c>
      <c r="L243" s="5">
        <v>101.88381199999999</v>
      </c>
      <c r="M243" s="5">
        <v>35.508884000000002</v>
      </c>
      <c r="N243" s="5">
        <v>34.999817</v>
      </c>
      <c r="O243" s="5">
        <v>40.195827000000001</v>
      </c>
      <c r="P243" s="5">
        <v>65.956146000000004</v>
      </c>
      <c r="Q243" s="5">
        <v>94.1875</v>
      </c>
      <c r="R243" s="5">
        <v>154.113327</v>
      </c>
      <c r="S243" s="5">
        <v>96.121628000000001</v>
      </c>
      <c r="T243" s="6">
        <v>2954.219970703125</v>
      </c>
    </row>
    <row r="244" spans="1:20">
      <c r="A244" s="37">
        <v>43891</v>
      </c>
      <c r="B244" s="5">
        <v>3.820754</v>
      </c>
      <c r="C244" s="5">
        <v>18.418590999999999</v>
      </c>
      <c r="D244" s="5">
        <v>76.790008999999998</v>
      </c>
      <c r="E244" s="5">
        <v>34.090091999999999</v>
      </c>
      <c r="F244" s="5">
        <v>39.181323999999996</v>
      </c>
      <c r="G244" s="5">
        <v>3.9935579999999997</v>
      </c>
      <c r="H244" s="5">
        <v>127.68499799999999</v>
      </c>
      <c r="I244" s="5">
        <v>95.28813199999999</v>
      </c>
      <c r="J244" s="5">
        <v>84.232535999999996</v>
      </c>
      <c r="K244" s="5">
        <v>23.550982999999999</v>
      </c>
      <c r="L244" s="5">
        <v>79.34387199999999</v>
      </c>
      <c r="M244" s="5">
        <v>29.110467999999997</v>
      </c>
      <c r="N244" s="5">
        <v>24.852204999999998</v>
      </c>
      <c r="O244" s="5">
        <v>33.014935000000001</v>
      </c>
      <c r="P244" s="5">
        <v>61.500541999999996</v>
      </c>
      <c r="Q244" s="5">
        <v>97.48599999999999</v>
      </c>
      <c r="R244" s="5">
        <v>150.432739</v>
      </c>
      <c r="S244" s="5">
        <v>82.782287999999994</v>
      </c>
      <c r="T244" s="6">
        <v>2584.590087890625</v>
      </c>
    </row>
    <row r="245" spans="1:20">
      <c r="A245" s="37">
        <v>43922</v>
      </c>
      <c r="B245" s="5">
        <v>4.4617629999999995</v>
      </c>
      <c r="C245" s="5">
        <v>20.998280999999999</v>
      </c>
      <c r="D245" s="5">
        <v>81.677345000000003</v>
      </c>
      <c r="E245" s="5">
        <v>39.302344999999995</v>
      </c>
      <c r="F245" s="5">
        <v>39.680256</v>
      </c>
      <c r="G245" s="5">
        <v>4.9639629999999997</v>
      </c>
      <c r="H245" s="5">
        <v>134.820221</v>
      </c>
      <c r="I245" s="5">
        <v>102.10559099999999</v>
      </c>
      <c r="J245" s="5">
        <v>93.272109999999998</v>
      </c>
      <c r="K245" s="5">
        <v>27.678180999999999</v>
      </c>
      <c r="L245" s="5">
        <v>84.571060000000003</v>
      </c>
      <c r="M245" s="5">
        <v>30.826193</v>
      </c>
      <c r="N245" s="5">
        <v>25.155276999999998</v>
      </c>
      <c r="O245" s="5">
        <v>32.532058999999997</v>
      </c>
      <c r="P245" s="5">
        <v>71.056122000000002</v>
      </c>
      <c r="Q245" s="5">
        <v>123.699997</v>
      </c>
      <c r="R245" s="5">
        <v>170.940628</v>
      </c>
      <c r="S245" s="5">
        <v>93.700026999999992</v>
      </c>
      <c r="T245" s="6">
        <v>2912.429931640625</v>
      </c>
    </row>
    <row r="246" spans="1:20">
      <c r="A246" s="37">
        <v>43952</v>
      </c>
      <c r="B246" s="5">
        <v>4.7738319999999996</v>
      </c>
      <c r="C246" s="5">
        <v>21.059401999999999</v>
      </c>
      <c r="D246" s="5">
        <v>83.861862000000002</v>
      </c>
      <c r="E246" s="5">
        <v>38.776271999999999</v>
      </c>
      <c r="F246" s="5">
        <v>38.994906999999998</v>
      </c>
      <c r="G246" s="5">
        <v>5.3875089999999997</v>
      </c>
      <c r="H246" s="5">
        <v>141.38183599999999</v>
      </c>
      <c r="I246" s="5">
        <v>101.086044</v>
      </c>
      <c r="J246" s="5">
        <v>106.179565</v>
      </c>
      <c r="K246" s="5">
        <v>27.555520999999999</v>
      </c>
      <c r="L246" s="5">
        <v>88.600928999999994</v>
      </c>
      <c r="M246" s="5">
        <v>37.259335</v>
      </c>
      <c r="N246" s="5">
        <v>22.921177</v>
      </c>
      <c r="O246" s="5">
        <v>33.780612999999995</v>
      </c>
      <c r="P246" s="5">
        <v>76.894431999999995</v>
      </c>
      <c r="Q246" s="5">
        <v>122.1185</v>
      </c>
      <c r="R246" s="5">
        <v>174.79420500000001</v>
      </c>
      <c r="S246" s="5">
        <v>93.207488999999995</v>
      </c>
      <c r="T246" s="6">
        <v>3044.31005859375</v>
      </c>
    </row>
    <row r="247" spans="1:20">
      <c r="A247" s="37">
        <v>43983</v>
      </c>
      <c r="B247" s="5">
        <v>4.7738319999999996</v>
      </c>
      <c r="C247" s="5">
        <v>20.736349000000001</v>
      </c>
      <c r="D247" s="5">
        <v>81.061004999999994</v>
      </c>
      <c r="E247" s="5">
        <v>41.797077000000002</v>
      </c>
      <c r="F247" s="5">
        <v>41.952534</v>
      </c>
      <c r="G247" s="5">
        <v>5.8279969999999999</v>
      </c>
      <c r="H247" s="5">
        <v>146.056793</v>
      </c>
      <c r="I247" s="5">
        <v>104.268974</v>
      </c>
      <c r="J247" s="5">
        <v>117.969757</v>
      </c>
      <c r="K247" s="5">
        <v>23.829415999999998</v>
      </c>
      <c r="L247" s="5">
        <v>88.722083999999995</v>
      </c>
      <c r="M247" s="5">
        <v>39.918673999999996</v>
      </c>
      <c r="N247" s="5">
        <v>22.61824</v>
      </c>
      <c r="O247" s="5">
        <v>35.209178999999999</v>
      </c>
      <c r="P247" s="5">
        <v>88.466453999999999</v>
      </c>
      <c r="Q247" s="5">
        <v>137.94099399999999</v>
      </c>
      <c r="R247" s="5">
        <v>194.66000399999999</v>
      </c>
      <c r="S247" s="5">
        <v>91.33412899999999</v>
      </c>
      <c r="T247" s="6">
        <v>3100.2900390625</v>
      </c>
    </row>
    <row r="248" spans="1:20">
      <c r="A248" s="37">
        <v>44013</v>
      </c>
      <c r="B248" s="5">
        <v>4.4195899999999995</v>
      </c>
      <c r="C248" s="5">
        <v>21.874465999999998</v>
      </c>
      <c r="D248" s="5">
        <v>83.284447</v>
      </c>
      <c r="E248" s="5">
        <v>40.90551</v>
      </c>
      <c r="F248" s="5">
        <v>43.905837999999996</v>
      </c>
      <c r="G248" s="5">
        <v>5.133381</v>
      </c>
      <c r="H248" s="5">
        <v>164.70413199999999</v>
      </c>
      <c r="I248" s="5">
        <v>114.340958</v>
      </c>
      <c r="J248" s="5">
        <v>130.48615999999998</v>
      </c>
      <c r="K248" s="5">
        <v>28.041457999999999</v>
      </c>
      <c r="L248" s="5">
        <v>86.97000899999999</v>
      </c>
      <c r="M248" s="5">
        <v>43.822207999999996</v>
      </c>
      <c r="N248" s="5">
        <v>21.434317</v>
      </c>
      <c r="O248" s="5">
        <v>34.948726999999998</v>
      </c>
      <c r="P248" s="5">
        <v>103.075058</v>
      </c>
      <c r="Q248" s="5">
        <v>158.233994</v>
      </c>
      <c r="R248" s="5">
        <v>196.09477199999998</v>
      </c>
      <c r="S248" s="5">
        <v>92.975234999999998</v>
      </c>
      <c r="T248" s="6">
        <v>3271.1201171875</v>
      </c>
    </row>
    <row r="249" spans="1:20">
      <c r="A249" s="37">
        <v>44044</v>
      </c>
      <c r="B249" s="5">
        <v>4.9087819999999995</v>
      </c>
      <c r="C249" s="5">
        <v>22.630572999999998</v>
      </c>
      <c r="D249" s="5">
        <v>87.185248999999999</v>
      </c>
      <c r="E249" s="5">
        <v>42.236885000000001</v>
      </c>
      <c r="F249" s="5">
        <v>50.991332999999997</v>
      </c>
      <c r="G249" s="5">
        <v>5.9042349999999999</v>
      </c>
      <c r="H249" s="5">
        <v>196.232529</v>
      </c>
      <c r="I249" s="5">
        <v>121.38954199999999</v>
      </c>
      <c r="J249" s="5">
        <v>137.27767900000001</v>
      </c>
      <c r="K249" s="5">
        <v>27.807794999999999</v>
      </c>
      <c r="L249" s="5">
        <v>95.106849999999994</v>
      </c>
      <c r="M249" s="5">
        <v>41.210850000000001</v>
      </c>
      <c r="N249" s="5">
        <v>21.337128</v>
      </c>
      <c r="O249" s="5">
        <v>39.875515</v>
      </c>
      <c r="P249" s="5">
        <v>125.17223399999999</v>
      </c>
      <c r="Q249" s="5">
        <v>172.54800399999999</v>
      </c>
      <c r="R249" s="5">
        <v>215.72241199999999</v>
      </c>
      <c r="S249" s="5">
        <v>93.255073999999993</v>
      </c>
      <c r="T249" s="6">
        <v>3500.31005859375</v>
      </c>
    </row>
    <row r="250" spans="1:20">
      <c r="A250" s="37">
        <v>44075</v>
      </c>
      <c r="B250" s="5">
        <v>4.2256029999999996</v>
      </c>
      <c r="C250" s="5">
        <v>21.179891999999999</v>
      </c>
      <c r="D250" s="5">
        <v>83.774047999999993</v>
      </c>
      <c r="E250" s="5">
        <v>35.618792999999997</v>
      </c>
      <c r="F250" s="5">
        <v>46.852351999999996</v>
      </c>
      <c r="G250" s="5">
        <v>4.8284269999999996</v>
      </c>
      <c r="H250" s="5">
        <v>207.040909</v>
      </c>
      <c r="I250" s="5">
        <v>121.968689</v>
      </c>
      <c r="J250" s="5">
        <v>138.62991299999999</v>
      </c>
      <c r="K250" s="5">
        <v>27.005717999999998</v>
      </c>
      <c r="L250" s="5">
        <v>93.852356</v>
      </c>
      <c r="M250" s="5">
        <v>40.697261999999995</v>
      </c>
      <c r="N250" s="5">
        <v>20.857150999999998</v>
      </c>
      <c r="O250" s="5">
        <v>36.980423000000002</v>
      </c>
      <c r="P250" s="5">
        <v>112.541344</v>
      </c>
      <c r="Q250" s="5">
        <v>157.43649299999998</v>
      </c>
      <c r="R250" s="5">
        <v>201.669769</v>
      </c>
      <c r="S250" s="5">
        <v>93.219566</v>
      </c>
      <c r="T250" s="6">
        <v>3363</v>
      </c>
    </row>
    <row r="251" spans="1:20">
      <c r="A251" s="37">
        <v>44105</v>
      </c>
      <c r="B251" s="5">
        <v>4.6641870000000001</v>
      </c>
      <c r="C251" s="5">
        <v>20.982156999999997</v>
      </c>
      <c r="D251" s="5">
        <v>85.314323000000002</v>
      </c>
      <c r="E251" s="5">
        <v>34.222445999999998</v>
      </c>
      <c r="F251" s="5">
        <v>47.702605999999996</v>
      </c>
      <c r="G251" s="5">
        <v>5.2604449999999998</v>
      </c>
      <c r="H251" s="5">
        <v>211.76444999999998</v>
      </c>
      <c r="I251" s="5">
        <v>120.310158</v>
      </c>
      <c r="J251" s="5">
        <v>142.04864499999999</v>
      </c>
      <c r="K251" s="5">
        <v>26.107979</v>
      </c>
      <c r="L251" s="5">
        <v>85.417366000000001</v>
      </c>
      <c r="M251" s="5">
        <v>37.720340999999998</v>
      </c>
      <c r="N251" s="5">
        <v>19.029599999999999</v>
      </c>
      <c r="O251" s="5">
        <v>35.372920999999998</v>
      </c>
      <c r="P251" s="5">
        <v>105.787514</v>
      </c>
      <c r="Q251" s="5">
        <v>151.80749499999999</v>
      </c>
      <c r="R251" s="5">
        <v>194.13334699999999</v>
      </c>
      <c r="S251" s="5">
        <v>85.550224</v>
      </c>
      <c r="T251" s="6">
        <v>3269.9599609375</v>
      </c>
    </row>
    <row r="252" spans="1:20">
      <c r="A252" s="37">
        <v>44136</v>
      </c>
      <c r="B252" s="5">
        <v>6.0052449999999995</v>
      </c>
      <c r="C252" s="5">
        <v>24.930699999999998</v>
      </c>
      <c r="D252" s="5">
        <v>103.53092199999999</v>
      </c>
      <c r="E252" s="5">
        <v>46.064414999999997</v>
      </c>
      <c r="F252" s="5">
        <v>59.103198999999996</v>
      </c>
      <c r="G252" s="5">
        <v>8.6488139999999998</v>
      </c>
      <c r="H252" s="5">
        <v>245.238449</v>
      </c>
      <c r="I252" s="5">
        <v>122.54003899999999</v>
      </c>
      <c r="J252" s="5">
        <v>157.527008</v>
      </c>
      <c r="K252" s="5">
        <v>29.712722999999997</v>
      </c>
      <c r="L252" s="5">
        <v>111.485664</v>
      </c>
      <c r="M252" s="5">
        <v>40.864787999999997</v>
      </c>
      <c r="N252" s="5">
        <v>24.263849</v>
      </c>
      <c r="O252" s="5">
        <v>43.513779</v>
      </c>
      <c r="P252" s="5">
        <v>115.68989599999999</v>
      </c>
      <c r="Q252" s="5">
        <v>158.401993</v>
      </c>
      <c r="R252" s="5">
        <v>205.25573699999998</v>
      </c>
      <c r="S252" s="5">
        <v>94.636977999999999</v>
      </c>
      <c r="T252" s="6">
        <v>3621.6298828125</v>
      </c>
    </row>
    <row r="253" spans="1:20">
      <c r="A253" s="37">
        <v>44166</v>
      </c>
      <c r="B253" s="5">
        <v>6.7390330000000001</v>
      </c>
      <c r="C253" s="5">
        <v>26.834142999999997</v>
      </c>
      <c r="D253" s="5">
        <v>111.602249</v>
      </c>
      <c r="E253" s="5">
        <v>51.576755999999996</v>
      </c>
      <c r="F253" s="5">
        <v>61.793403999999995</v>
      </c>
      <c r="G253" s="5">
        <v>9.5297909999999995</v>
      </c>
      <c r="H253" s="5">
        <v>252.20320099999998</v>
      </c>
      <c r="I253" s="5">
        <v>122.778244</v>
      </c>
      <c r="J253" s="5">
        <v>153.183807</v>
      </c>
      <c r="K253" s="5">
        <v>28.842941</v>
      </c>
      <c r="L253" s="5">
        <v>113.66669499999999</v>
      </c>
      <c r="M253" s="5">
        <v>49.302489999999999</v>
      </c>
      <c r="N253" s="5">
        <v>26.897445999999999</v>
      </c>
      <c r="O253" s="5">
        <v>45.692307</v>
      </c>
      <c r="P253" s="5">
        <v>129.16738899999999</v>
      </c>
      <c r="Q253" s="5">
        <v>162.846497</v>
      </c>
      <c r="R253" s="5">
        <v>213.82029699999998</v>
      </c>
      <c r="S253" s="5">
        <v>97.843620000000001</v>
      </c>
      <c r="T253" s="6">
        <v>3756.070068359375</v>
      </c>
    </row>
    <row r="254" spans="1:20">
      <c r="A254" s="37">
        <v>44197</v>
      </c>
      <c r="B254" s="5">
        <v>6.1401949999999994</v>
      </c>
      <c r="C254" s="5">
        <v>26.413440999999999</v>
      </c>
      <c r="D254" s="5">
        <v>113.00749999999999</v>
      </c>
      <c r="E254" s="5">
        <v>48.506907999999996</v>
      </c>
      <c r="F254" s="5">
        <v>60.395465999999999</v>
      </c>
      <c r="G254" s="5">
        <v>12.740273</v>
      </c>
      <c r="H254" s="5">
        <v>271.49414100000001</v>
      </c>
      <c r="I254" s="5">
        <v>113.13355999999999</v>
      </c>
      <c r="J254" s="5">
        <v>148.83433499999998</v>
      </c>
      <c r="K254" s="5">
        <v>28.129899999999999</v>
      </c>
      <c r="L254" s="5">
        <v>109.29525</v>
      </c>
      <c r="M254" s="5">
        <v>47.226382999999998</v>
      </c>
      <c r="N254" s="5">
        <v>26.630071999999998</v>
      </c>
      <c r="O254" s="5">
        <v>45.829978999999994</v>
      </c>
      <c r="P254" s="5">
        <v>128.45675699999998</v>
      </c>
      <c r="Q254" s="5">
        <v>160.30999799999998</v>
      </c>
      <c r="R254" s="5">
        <v>222.99140899999998</v>
      </c>
      <c r="S254" s="5">
        <v>92.581474</v>
      </c>
      <c r="T254" s="6">
        <v>3714.239990234375</v>
      </c>
    </row>
    <row r="255" spans="1:20">
      <c r="A255" s="37">
        <v>44228</v>
      </c>
      <c r="B255" s="5">
        <v>7.4475159999999994</v>
      </c>
      <c r="C255" s="5">
        <v>30.921087</v>
      </c>
      <c r="D255" s="5">
        <v>130.186386</v>
      </c>
      <c r="E255" s="5">
        <v>55.576397</v>
      </c>
      <c r="F255" s="5">
        <v>66.985900999999998</v>
      </c>
      <c r="G255" s="5">
        <v>12.884279999999999</v>
      </c>
      <c r="H255" s="5">
        <v>328.19964599999997</v>
      </c>
      <c r="I255" s="5">
        <v>109.66139199999999</v>
      </c>
      <c r="J255" s="5">
        <v>149.99250799999999</v>
      </c>
      <c r="K255" s="5">
        <v>26.526994999999999</v>
      </c>
      <c r="L255" s="5">
        <v>127.60290499999999</v>
      </c>
      <c r="M255" s="5">
        <v>48.790585</v>
      </c>
      <c r="N255" s="5">
        <v>32.235934999999998</v>
      </c>
      <c r="O255" s="5">
        <v>49.415271999999995</v>
      </c>
      <c r="P255" s="5">
        <v>118.04081699999999</v>
      </c>
      <c r="Q255" s="5">
        <v>154.6465</v>
      </c>
      <c r="R255" s="5">
        <v>223.395172</v>
      </c>
      <c r="S255" s="5">
        <v>92.44155099999999</v>
      </c>
      <c r="T255" s="6">
        <v>3811.14990234375</v>
      </c>
    </row>
    <row r="256" spans="1:20">
      <c r="A256" s="37">
        <v>44256</v>
      </c>
      <c r="B256" s="5">
        <v>8.6798769999999994</v>
      </c>
      <c r="C256" s="5">
        <v>34.466636999999999</v>
      </c>
      <c r="D256" s="5">
        <v>134.66249099999999</v>
      </c>
      <c r="E256" s="5">
        <v>61.371941</v>
      </c>
      <c r="F256" s="5">
        <v>73.221908999999997</v>
      </c>
      <c r="G256" s="5">
        <v>13.71443</v>
      </c>
      <c r="H256" s="5">
        <v>351.72030599999999</v>
      </c>
      <c r="I256" s="5">
        <v>120.22538</v>
      </c>
      <c r="J256" s="5">
        <v>171.29377700000001</v>
      </c>
      <c r="K256" s="5">
        <v>28.697308</v>
      </c>
      <c r="L256" s="5">
        <v>133.433075</v>
      </c>
      <c r="M256" s="5">
        <v>48.266158999999995</v>
      </c>
      <c r="N256" s="5">
        <v>34.930706000000001</v>
      </c>
      <c r="O256" s="5">
        <v>53.376998999999998</v>
      </c>
      <c r="P256" s="5">
        <v>119.084908</v>
      </c>
      <c r="Q256" s="5">
        <v>154.70399499999999</v>
      </c>
      <c r="R256" s="5">
        <v>227.176132</v>
      </c>
      <c r="S256" s="5">
        <v>104.96405799999999</v>
      </c>
      <c r="T256" s="6">
        <v>3972.889892578125</v>
      </c>
    </row>
    <row r="257" spans="1:20">
      <c r="A257" s="37">
        <v>44287</v>
      </c>
      <c r="B257" s="5">
        <v>8.1198859999999993</v>
      </c>
      <c r="C257" s="5">
        <v>36.285117999999997</v>
      </c>
      <c r="D257" s="5">
        <v>136.060135</v>
      </c>
      <c r="E257" s="5">
        <v>60.098090999999997</v>
      </c>
      <c r="F257" s="5">
        <v>77.510727000000003</v>
      </c>
      <c r="G257" s="5">
        <v>14.044796999999999</v>
      </c>
      <c r="H257" s="5">
        <v>349.48232999999999</v>
      </c>
      <c r="I257" s="5">
        <v>118.441025</v>
      </c>
      <c r="J257" s="5">
        <v>178.057343</v>
      </c>
      <c r="K257" s="5">
        <v>30.614160999999999</v>
      </c>
      <c r="L257" s="5">
        <v>145.10363799999999</v>
      </c>
      <c r="M257" s="5">
        <v>43.298431000000001</v>
      </c>
      <c r="N257" s="5">
        <v>40.277156999999995</v>
      </c>
      <c r="O257" s="5">
        <v>56.274642999999998</v>
      </c>
      <c r="P257" s="5">
        <v>128.16130099999998</v>
      </c>
      <c r="Q257" s="5">
        <v>173.371002</v>
      </c>
      <c r="R257" s="5">
        <v>242.98796099999998</v>
      </c>
      <c r="S257" s="5">
        <v>111.75368499999999</v>
      </c>
      <c r="T257" s="6">
        <v>4181.169921875</v>
      </c>
    </row>
    <row r="258" spans="1:20">
      <c r="A258" s="37">
        <v>44317</v>
      </c>
      <c r="B258" s="5">
        <v>8.9768439999999998</v>
      </c>
      <c r="C258" s="5">
        <v>37.950313999999999</v>
      </c>
      <c r="D258" s="5">
        <v>146.14219699999998</v>
      </c>
      <c r="E258" s="5">
        <v>66.861587999999998</v>
      </c>
      <c r="F258" s="5">
        <v>87.071686</v>
      </c>
      <c r="G258" s="5">
        <v>15.484853999999999</v>
      </c>
      <c r="H258" s="5">
        <v>340.29406699999998</v>
      </c>
      <c r="I258" s="5">
        <v>120.47638699999999</v>
      </c>
      <c r="J258" s="5">
        <v>186.69450399999999</v>
      </c>
      <c r="K258" s="5">
        <v>30.677526</v>
      </c>
      <c r="L258" s="5">
        <v>151.51908899999998</v>
      </c>
      <c r="M258" s="5">
        <v>40.885951999999996</v>
      </c>
      <c r="N258" s="5">
        <v>41.770221999999997</v>
      </c>
      <c r="O258" s="5">
        <v>59.579040999999997</v>
      </c>
      <c r="P258" s="5">
        <v>121.483154</v>
      </c>
      <c r="Q258" s="5">
        <v>161.153503</v>
      </c>
      <c r="R258" s="5">
        <v>240.57913199999999</v>
      </c>
      <c r="S258" s="5">
        <v>113.21875</v>
      </c>
      <c r="T258" s="6">
        <v>4204.10986328125</v>
      </c>
    </row>
    <row r="259" spans="1:20">
      <c r="A259" s="37">
        <v>44348</v>
      </c>
      <c r="B259" s="5">
        <v>8.1877619999999993</v>
      </c>
      <c r="C259" s="5">
        <v>36.911811999999998</v>
      </c>
      <c r="D259" s="5">
        <v>138.40086399999998</v>
      </c>
      <c r="E259" s="5">
        <v>60.099815</v>
      </c>
      <c r="F259" s="5">
        <v>85.032119999999992</v>
      </c>
      <c r="G259" s="5">
        <v>16.060879</v>
      </c>
      <c r="H259" s="5">
        <v>332.38738999999998</v>
      </c>
      <c r="I259" s="5">
        <v>120.547867</v>
      </c>
      <c r="J259" s="5">
        <v>176.52448999999999</v>
      </c>
      <c r="K259" s="5">
        <v>31.323754999999998</v>
      </c>
      <c r="L259" s="5">
        <v>156.34483299999999</v>
      </c>
      <c r="M259" s="5">
        <v>41.582980999999997</v>
      </c>
      <c r="N259" s="5">
        <v>40.580067</v>
      </c>
      <c r="O259" s="5">
        <v>57.885044000000001</v>
      </c>
      <c r="P259" s="5">
        <v>133.75007600000001</v>
      </c>
      <c r="Q259" s="5">
        <v>172.00799599999999</v>
      </c>
      <c r="R259" s="5">
        <v>261.62841800000001</v>
      </c>
      <c r="S259" s="5">
        <v>116.753738</v>
      </c>
      <c r="T259" s="6">
        <v>4297.5</v>
      </c>
    </row>
    <row r="260" spans="1:20">
      <c r="A260" s="37">
        <v>44378</v>
      </c>
      <c r="B260" s="5">
        <v>8.3065490000000004</v>
      </c>
      <c r="C260" s="5">
        <v>34.486964999999998</v>
      </c>
      <c r="D260" s="5">
        <v>135.05519100000001</v>
      </c>
      <c r="E260" s="5">
        <v>57.441001999999997</v>
      </c>
      <c r="F260" s="5">
        <v>82.660895999999994</v>
      </c>
      <c r="G260" s="5">
        <v>14.400575999999999</v>
      </c>
      <c r="H260" s="5">
        <v>341.63449099999997</v>
      </c>
      <c r="I260" s="5">
        <v>127.06978599999999</v>
      </c>
      <c r="J260" s="5">
        <v>170.246948</v>
      </c>
      <c r="K260" s="5">
        <v>34.243361999999998</v>
      </c>
      <c r="L260" s="5">
        <v>161.359802</v>
      </c>
      <c r="M260" s="5">
        <v>41.802588999999998</v>
      </c>
      <c r="N260" s="5">
        <v>41.162456999999996</v>
      </c>
      <c r="O260" s="5">
        <v>54.910201999999998</v>
      </c>
      <c r="P260" s="5">
        <v>142.441452</v>
      </c>
      <c r="Q260" s="5">
        <v>166.379501</v>
      </c>
      <c r="R260" s="5">
        <v>275.15884399999999</v>
      </c>
      <c r="S260" s="5">
        <v>112.26964599999999</v>
      </c>
      <c r="T260" s="6">
        <v>4395.259765625</v>
      </c>
    </row>
    <row r="261" spans="1:20">
      <c r="A261" s="37">
        <v>44409</v>
      </c>
      <c r="B261" s="5">
        <v>8.6968479999999992</v>
      </c>
      <c r="C261" s="5">
        <v>37.534686999999998</v>
      </c>
      <c r="D261" s="5">
        <v>143.145096</v>
      </c>
      <c r="E261" s="5">
        <v>61.541331999999997</v>
      </c>
      <c r="F261" s="5">
        <v>83.211028999999996</v>
      </c>
      <c r="G261" s="5">
        <v>18.966405999999999</v>
      </c>
      <c r="H261" s="5">
        <v>357.16726699999998</v>
      </c>
      <c r="I261" s="5">
        <v>128.012787</v>
      </c>
      <c r="J261" s="5">
        <v>166.98111</v>
      </c>
      <c r="K261" s="5">
        <v>37.184775999999999</v>
      </c>
      <c r="L261" s="5">
        <v>157.44532799999999</v>
      </c>
      <c r="M261" s="5">
        <v>48.566325999999997</v>
      </c>
      <c r="N261" s="5">
        <v>40.947413999999995</v>
      </c>
      <c r="O261" s="5">
        <v>54.154834999999999</v>
      </c>
      <c r="P261" s="5">
        <v>148.271545</v>
      </c>
      <c r="Q261" s="5">
        <v>173.53950499999999</v>
      </c>
      <c r="R261" s="5">
        <v>291.54803499999997</v>
      </c>
      <c r="S261" s="5">
        <v>111.775818</v>
      </c>
      <c r="T261" s="6">
        <v>4522.68017578125</v>
      </c>
    </row>
    <row r="262" spans="1:20">
      <c r="A262" s="37">
        <v>44440</v>
      </c>
      <c r="B262" s="5">
        <v>8.8496159999999993</v>
      </c>
      <c r="C262" s="5">
        <v>38.164017000000001</v>
      </c>
      <c r="D262" s="5">
        <v>146.49217199999998</v>
      </c>
      <c r="E262" s="5">
        <v>60.060798999999996</v>
      </c>
      <c r="F262" s="5">
        <v>83.386634999999998</v>
      </c>
      <c r="G262" s="5">
        <v>19.144292999999998</v>
      </c>
      <c r="H262" s="5">
        <v>316.57818599999996</v>
      </c>
      <c r="I262" s="5">
        <v>125.68429599999999</v>
      </c>
      <c r="J262" s="5">
        <v>151.464035</v>
      </c>
      <c r="K262" s="5">
        <v>34.714934999999997</v>
      </c>
      <c r="L262" s="5">
        <v>158.93476899999999</v>
      </c>
      <c r="M262" s="5">
        <v>47.122146999999998</v>
      </c>
      <c r="N262" s="5">
        <v>41.764572000000001</v>
      </c>
      <c r="O262" s="5">
        <v>55.163878999999994</v>
      </c>
      <c r="P262" s="5">
        <v>138.390671</v>
      </c>
      <c r="Q262" s="5">
        <v>164.25199899999998</v>
      </c>
      <c r="R262" s="5">
        <v>272.79251099999999</v>
      </c>
      <c r="S262" s="5">
        <v>111.92671199999999</v>
      </c>
      <c r="T262" s="6">
        <v>4307.5400390625</v>
      </c>
    </row>
    <row r="263" spans="1:20">
      <c r="A263" s="37">
        <v>44470</v>
      </c>
      <c r="B263" s="5">
        <v>9.5956589999999995</v>
      </c>
      <c r="C263" s="5">
        <v>43.175990999999996</v>
      </c>
      <c r="D263" s="5">
        <v>152.04077100000001</v>
      </c>
      <c r="E263" s="5">
        <v>59.187869999999997</v>
      </c>
      <c r="F263" s="5">
        <v>90.727797999999993</v>
      </c>
      <c r="G263" s="5">
        <v>22.583161999999998</v>
      </c>
      <c r="H263" s="5">
        <v>324.38092</v>
      </c>
      <c r="I263" s="5">
        <v>128.55221599999999</v>
      </c>
      <c r="J263" s="5">
        <v>155.920761</v>
      </c>
      <c r="K263" s="5">
        <v>35.304145999999996</v>
      </c>
      <c r="L263" s="5">
        <v>164.86409</v>
      </c>
      <c r="M263" s="5">
        <v>52.210223999999997</v>
      </c>
      <c r="N263" s="5">
        <v>46.039127000000001</v>
      </c>
      <c r="O263" s="5">
        <v>60.467620999999994</v>
      </c>
      <c r="P263" s="5">
        <v>146.50831599999998</v>
      </c>
      <c r="Q263" s="5">
        <v>168.62150599999998</v>
      </c>
      <c r="R263" s="5">
        <v>320.88330099999996</v>
      </c>
      <c r="S263" s="5">
        <v>100.784813</v>
      </c>
      <c r="T263" s="6">
        <v>4605.3798828125</v>
      </c>
    </row>
    <row r="264" spans="1:20">
      <c r="A264" s="37">
        <v>44501</v>
      </c>
      <c r="B264" s="5">
        <v>8.4894569999999998</v>
      </c>
      <c r="C264" s="5">
        <v>40.184939999999997</v>
      </c>
      <c r="D264" s="5">
        <v>142.999313</v>
      </c>
      <c r="E264" s="5">
        <v>54.910232999999998</v>
      </c>
      <c r="F264" s="5">
        <v>87.68614199999999</v>
      </c>
      <c r="G264" s="5">
        <v>24.315078999999997</v>
      </c>
      <c r="H264" s="5">
        <v>327.44174199999998</v>
      </c>
      <c r="I264" s="5">
        <v>130.78745999999998</v>
      </c>
      <c r="J264" s="5">
        <v>151.60914599999998</v>
      </c>
      <c r="K264" s="5">
        <v>43.367446999999999</v>
      </c>
      <c r="L264" s="5">
        <v>144.84532199999998</v>
      </c>
      <c r="M264" s="5">
        <v>45.491000999999997</v>
      </c>
      <c r="N264" s="5">
        <v>42.997447999999999</v>
      </c>
      <c r="O264" s="5">
        <v>60.652263999999995</v>
      </c>
      <c r="P264" s="5">
        <v>161.66767899999999</v>
      </c>
      <c r="Q264" s="5">
        <v>175.3535</v>
      </c>
      <c r="R264" s="5">
        <v>319.88668799999999</v>
      </c>
      <c r="S264" s="5">
        <v>98.679366999999999</v>
      </c>
      <c r="T264" s="6">
        <v>4567</v>
      </c>
    </row>
    <row r="265" spans="1:20">
      <c r="A265" s="37">
        <v>44531</v>
      </c>
      <c r="B265" s="5">
        <v>8.8753419999999998</v>
      </c>
      <c r="C265" s="5">
        <v>40.203013999999996</v>
      </c>
      <c r="D265" s="5">
        <v>142.567139</v>
      </c>
      <c r="E265" s="5">
        <v>52.056964999999998</v>
      </c>
      <c r="F265" s="5">
        <v>90.761505</v>
      </c>
      <c r="G265" s="5">
        <v>22.335749</v>
      </c>
      <c r="H265" s="5">
        <v>324.93048099999999</v>
      </c>
      <c r="I265" s="5">
        <v>147.97493</v>
      </c>
      <c r="J265" s="5">
        <v>164.33810399999999</v>
      </c>
      <c r="K265" s="5">
        <v>48.079772999999996</v>
      </c>
      <c r="L265" s="5">
        <v>155.59222399999999</v>
      </c>
      <c r="M265" s="5">
        <v>46.257159999999999</v>
      </c>
      <c r="N265" s="5">
        <v>43.344138999999998</v>
      </c>
      <c r="O265" s="5">
        <v>64.540877999999992</v>
      </c>
      <c r="P265" s="5">
        <v>173.921539</v>
      </c>
      <c r="Q265" s="5">
        <v>166.716995</v>
      </c>
      <c r="R265" s="5">
        <v>326.02654999999999</v>
      </c>
      <c r="S265" s="5">
        <v>114.13737499999999</v>
      </c>
      <c r="T265" s="6">
        <v>4766.18017578125</v>
      </c>
    </row>
    <row r="266" spans="1:20">
      <c r="A266" s="37">
        <v>44562</v>
      </c>
      <c r="B266" s="5">
        <v>9.3384039999999988</v>
      </c>
      <c r="C266" s="5">
        <v>41.894694999999999</v>
      </c>
      <c r="D266" s="5">
        <v>133.78895599999998</v>
      </c>
      <c r="E266" s="5">
        <v>56.134288999999995</v>
      </c>
      <c r="F266" s="5">
        <v>95.36192299999999</v>
      </c>
      <c r="G266" s="5">
        <v>21.973016999999999</v>
      </c>
      <c r="H266" s="5">
        <v>357.77200299999998</v>
      </c>
      <c r="I266" s="5">
        <v>145.14352399999999</v>
      </c>
      <c r="J266" s="5">
        <v>152.16656499999999</v>
      </c>
      <c r="K266" s="5">
        <v>42.901317999999996</v>
      </c>
      <c r="L266" s="5">
        <v>171.01831099999998</v>
      </c>
      <c r="M266" s="5">
        <v>38.336940999999996</v>
      </c>
      <c r="N266" s="5">
        <v>48.601813999999997</v>
      </c>
      <c r="O266" s="5">
        <v>67.360534999999999</v>
      </c>
      <c r="P266" s="5">
        <v>171.18885799999998</v>
      </c>
      <c r="Q266" s="5">
        <v>149.57350199999999</v>
      </c>
      <c r="R266" s="5">
        <v>301.46206699999999</v>
      </c>
      <c r="S266" s="5">
        <v>114.06051599999999</v>
      </c>
      <c r="T266" s="6">
        <v>4515.5498046875</v>
      </c>
    </row>
    <row r="267" spans="1:20">
      <c r="A267" s="37">
        <v>44593</v>
      </c>
      <c r="B267" s="5">
        <v>8.4894569999999998</v>
      </c>
      <c r="C267" s="5">
        <v>40.133193999999996</v>
      </c>
      <c r="D267" s="5">
        <v>128.43193099999999</v>
      </c>
      <c r="E267" s="5">
        <v>51.057029999999997</v>
      </c>
      <c r="F267" s="5">
        <v>96.861289999999997</v>
      </c>
      <c r="G267" s="5">
        <v>22.247681</v>
      </c>
      <c r="H267" s="5">
        <v>342.20257599999997</v>
      </c>
      <c r="I267" s="5">
        <v>141.779922</v>
      </c>
      <c r="J267" s="5">
        <v>141.754929</v>
      </c>
      <c r="K267" s="5">
        <v>38.510135999999996</v>
      </c>
      <c r="L267" s="5">
        <v>185.48211699999999</v>
      </c>
      <c r="M267" s="5">
        <v>42.190726999999995</v>
      </c>
      <c r="N267" s="5">
        <v>48.213352</v>
      </c>
      <c r="O267" s="5">
        <v>68.521805000000001</v>
      </c>
      <c r="P267" s="5">
        <v>161.72730999999999</v>
      </c>
      <c r="Q267" s="5">
        <v>153.56300400000001</v>
      </c>
      <c r="R267" s="5">
        <v>289.64520299999998</v>
      </c>
      <c r="S267" s="5">
        <v>104.61597399999999</v>
      </c>
      <c r="T267" s="6">
        <v>4373.93994140625</v>
      </c>
    </row>
    <row r="268" spans="1:20">
      <c r="A268" s="37">
        <v>44621</v>
      </c>
      <c r="B268" s="5">
        <v>6.7744149999999994</v>
      </c>
      <c r="C268" s="5">
        <v>37.427371999999998</v>
      </c>
      <c r="D268" s="5">
        <v>123.468575</v>
      </c>
      <c r="E268" s="5">
        <v>46.394061999999998</v>
      </c>
      <c r="F268" s="5">
        <v>100.32243299999999</v>
      </c>
      <c r="G268" s="5">
        <v>20.908701000000001</v>
      </c>
      <c r="H268" s="5">
        <v>394.89892599999996</v>
      </c>
      <c r="I268" s="5">
        <v>138.96958899999998</v>
      </c>
      <c r="J268" s="5">
        <v>121.79421199999999</v>
      </c>
      <c r="K268" s="5">
        <v>42.472729000000001</v>
      </c>
      <c r="L268" s="5">
        <v>178.29321299999998</v>
      </c>
      <c r="M268" s="5">
        <v>43.965053999999995</v>
      </c>
      <c r="N268" s="5">
        <v>43.974311999999998</v>
      </c>
      <c r="O268" s="5">
        <v>67.443320999999997</v>
      </c>
      <c r="P268" s="5">
        <v>171.240219</v>
      </c>
      <c r="Q268" s="5">
        <v>162.99749799999998</v>
      </c>
      <c r="R268" s="5">
        <v>299.49182099999996</v>
      </c>
      <c r="S268" s="5">
        <v>112.36643199999999</v>
      </c>
      <c r="T268" s="6">
        <v>4530.41015625</v>
      </c>
    </row>
    <row r="269" spans="1:20">
      <c r="A269" s="37">
        <v>44652</v>
      </c>
      <c r="B269" s="5">
        <v>6.5358070000000001</v>
      </c>
      <c r="C269" s="5">
        <v>32.555510999999996</v>
      </c>
      <c r="D269" s="5">
        <v>108.107445</v>
      </c>
      <c r="E269" s="5">
        <v>41.884968000000001</v>
      </c>
      <c r="F269" s="5">
        <v>90.177100999999993</v>
      </c>
      <c r="G269" s="5">
        <v>20.885202</v>
      </c>
      <c r="H269" s="5">
        <v>359.77993799999996</v>
      </c>
      <c r="I269" s="5">
        <v>146.01817299999999</v>
      </c>
      <c r="J269" s="5">
        <v>105.196625</v>
      </c>
      <c r="K269" s="5">
        <v>40.257621999999998</v>
      </c>
      <c r="L269" s="5">
        <v>166.57545500000001</v>
      </c>
      <c r="M269" s="5">
        <v>36.752635999999995</v>
      </c>
      <c r="N269" s="5">
        <v>39.591422999999999</v>
      </c>
      <c r="O269" s="5">
        <v>61.346066</v>
      </c>
      <c r="P269" s="5">
        <v>154.60755899999998</v>
      </c>
      <c r="Q269" s="5">
        <v>124.28150199999999</v>
      </c>
      <c r="R269" s="5">
        <v>269.58245799999997</v>
      </c>
      <c r="S269" s="5">
        <v>114.25909399999999</v>
      </c>
      <c r="T269" s="6">
        <v>4131.93017578125</v>
      </c>
    </row>
    <row r="270" spans="1:20">
      <c r="A270" s="37">
        <v>44682</v>
      </c>
      <c r="B270" s="5">
        <v>7.6148739999999995</v>
      </c>
      <c r="C270" s="5">
        <v>33.942405999999998</v>
      </c>
      <c r="D270" s="5">
        <v>120.651894</v>
      </c>
      <c r="E270" s="5">
        <v>46.880736999999996</v>
      </c>
      <c r="F270" s="5">
        <v>93.490355999999991</v>
      </c>
      <c r="G270" s="5">
        <v>20.435873000000001</v>
      </c>
      <c r="H270" s="5">
        <v>340.94049100000001</v>
      </c>
      <c r="I270" s="5">
        <v>135.24949599999999</v>
      </c>
      <c r="J270" s="5">
        <v>103.91834299999999</v>
      </c>
      <c r="K270" s="5">
        <v>43.514648000000001</v>
      </c>
      <c r="L270" s="5">
        <v>161.41655</v>
      </c>
      <c r="M270" s="5">
        <v>33.143001999999996</v>
      </c>
      <c r="N270" s="5">
        <v>41.533318000000001</v>
      </c>
      <c r="O270" s="5">
        <v>65.354820000000004</v>
      </c>
      <c r="P270" s="5">
        <v>145.96759</v>
      </c>
      <c r="Q270" s="5">
        <v>120.209503</v>
      </c>
      <c r="R270" s="5">
        <v>264.094086</v>
      </c>
      <c r="S270" s="5">
        <v>119.98889899999999</v>
      </c>
      <c r="T270" s="6">
        <v>4132.14990234375</v>
      </c>
    </row>
    <row r="271" spans="1:20">
      <c r="A271" s="37">
        <v>44713</v>
      </c>
      <c r="B271" s="5">
        <v>6.6674009999999999</v>
      </c>
      <c r="C271" s="5">
        <v>28.403955</v>
      </c>
      <c r="D271" s="5">
        <v>102.749809</v>
      </c>
      <c r="E271" s="5">
        <v>40.367816999999995</v>
      </c>
      <c r="F271" s="5">
        <v>82.569289999999995</v>
      </c>
      <c r="G271" s="5">
        <v>15.83024</v>
      </c>
      <c r="H271" s="5">
        <v>285.374908</v>
      </c>
      <c r="I271" s="5">
        <v>131.50878900000001</v>
      </c>
      <c r="J271" s="5">
        <v>91.809569999999994</v>
      </c>
      <c r="K271" s="5">
        <v>43.364982999999995</v>
      </c>
      <c r="L271" s="5">
        <v>132.54096999999999</v>
      </c>
      <c r="M271" s="5">
        <v>26.810368999999998</v>
      </c>
      <c r="N271" s="5">
        <v>35.738563999999997</v>
      </c>
      <c r="O271" s="5">
        <v>56.194686999999995</v>
      </c>
      <c r="P271" s="5">
        <v>134.27848799999998</v>
      </c>
      <c r="Q271" s="5">
        <v>106.209999</v>
      </c>
      <c r="R271" s="5">
        <v>250.065292</v>
      </c>
      <c r="S271" s="5">
        <v>123.499977</v>
      </c>
      <c r="T271" s="6">
        <v>3785.3798828125</v>
      </c>
    </row>
    <row r="272" spans="1:20">
      <c r="A272" s="37">
        <v>44743</v>
      </c>
      <c r="B272" s="5">
        <v>6.834085</v>
      </c>
      <c r="C272" s="5">
        <v>31.026959999999999</v>
      </c>
      <c r="D272" s="5">
        <v>105.259041</v>
      </c>
      <c r="E272" s="5">
        <v>45.555332</v>
      </c>
      <c r="F272" s="5">
        <v>86.47578399999999</v>
      </c>
      <c r="G272" s="5">
        <v>15.365708999999999</v>
      </c>
      <c r="H272" s="5">
        <v>328.22729499999997</v>
      </c>
      <c r="I272" s="5">
        <v>127.045631</v>
      </c>
      <c r="J272" s="5">
        <v>85.80860899999999</v>
      </c>
      <c r="K272" s="5">
        <v>41.776942999999996</v>
      </c>
      <c r="L272" s="5">
        <v>147.816742</v>
      </c>
      <c r="M272" s="5">
        <v>30.702203999999998</v>
      </c>
      <c r="N272" s="5">
        <v>40.026820999999998</v>
      </c>
      <c r="O272" s="5">
        <v>55.671993000000001</v>
      </c>
      <c r="P272" s="5">
        <v>159.60791</v>
      </c>
      <c r="Q272" s="5">
        <v>134.949997</v>
      </c>
      <c r="R272" s="5">
        <v>273.345551</v>
      </c>
      <c r="S272" s="5">
        <v>114.403015</v>
      </c>
      <c r="T272" s="6">
        <v>4130.2900390625</v>
      </c>
    </row>
    <row r="273" spans="1:20">
      <c r="A273" s="37">
        <v>44774</v>
      </c>
      <c r="B273" s="5">
        <v>6.834085</v>
      </c>
      <c r="C273" s="5">
        <v>30.843413999999999</v>
      </c>
      <c r="D273" s="5">
        <v>104.689697</v>
      </c>
      <c r="E273" s="5">
        <v>43.265552999999997</v>
      </c>
      <c r="F273" s="5">
        <v>80.066231000000002</v>
      </c>
      <c r="G273" s="5">
        <v>15.078415999999999</v>
      </c>
      <c r="H273" s="5">
        <v>349.33575400000001</v>
      </c>
      <c r="I273" s="5">
        <v>126.977486</v>
      </c>
      <c r="J273" s="5">
        <v>77.671211</v>
      </c>
      <c r="K273" s="5">
        <v>37.700122999999998</v>
      </c>
      <c r="L273" s="5">
        <v>145.87808200000001</v>
      </c>
      <c r="M273" s="5">
        <v>29.388272999999998</v>
      </c>
      <c r="N273" s="5">
        <v>39.880839999999999</v>
      </c>
      <c r="O273" s="5">
        <v>55.729030999999999</v>
      </c>
      <c r="P273" s="5">
        <v>154.41241499999998</v>
      </c>
      <c r="Q273" s="5">
        <v>126.76999699999999</v>
      </c>
      <c r="R273" s="5">
        <v>254.58306899999999</v>
      </c>
      <c r="S273" s="5">
        <v>112.35621599999999</v>
      </c>
      <c r="T273" s="6">
        <v>3955</v>
      </c>
    </row>
    <row r="274" spans="1:20">
      <c r="A274" s="37">
        <v>44805</v>
      </c>
      <c r="B274" s="5">
        <v>5.6871689999999999</v>
      </c>
      <c r="C274" s="5">
        <v>27.714108</v>
      </c>
      <c r="D274" s="5">
        <v>96.193366999999995</v>
      </c>
      <c r="E274" s="5">
        <v>36.936591999999997</v>
      </c>
      <c r="F274" s="5">
        <v>76.073325999999994</v>
      </c>
      <c r="G274" s="5">
        <v>13.641961999999999</v>
      </c>
      <c r="H274" s="5">
        <v>319.34216299999997</v>
      </c>
      <c r="I274" s="5">
        <v>116.216522</v>
      </c>
      <c r="J274" s="5">
        <v>66.307045000000002</v>
      </c>
      <c r="K274" s="5">
        <v>36.474841999999995</v>
      </c>
      <c r="L274" s="5">
        <v>129.47642500000001</v>
      </c>
      <c r="M274" s="5">
        <v>27.711148999999999</v>
      </c>
      <c r="N274" s="5">
        <v>36.949141999999995</v>
      </c>
      <c r="O274" s="5">
        <v>53.121879999999997</v>
      </c>
      <c r="P274" s="5">
        <v>135.920593</v>
      </c>
      <c r="Q274" s="5">
        <v>113</v>
      </c>
      <c r="R274" s="5">
        <v>227.246948</v>
      </c>
      <c r="S274" s="5">
        <v>105.23339799999999</v>
      </c>
      <c r="T274" s="6">
        <v>3585.6201171875</v>
      </c>
    </row>
    <row r="275" spans="1:20">
      <c r="A275" s="37">
        <v>44835</v>
      </c>
      <c r="B275" s="5">
        <v>6.1492519999999997</v>
      </c>
      <c r="C275" s="5">
        <v>33.291305999999999</v>
      </c>
      <c r="D275" s="5">
        <v>115.87387799999999</v>
      </c>
      <c r="E275" s="5">
        <v>40.650641999999998</v>
      </c>
      <c r="F275" s="5">
        <v>79.927329999999998</v>
      </c>
      <c r="G275" s="5">
        <v>18.320537999999999</v>
      </c>
      <c r="H275" s="5">
        <v>379.81454500000001</v>
      </c>
      <c r="I275" s="5">
        <v>123.96734599999999</v>
      </c>
      <c r="J275" s="5">
        <v>69.835967999999994</v>
      </c>
      <c r="K275" s="5">
        <v>38.800364999999999</v>
      </c>
      <c r="L275" s="5">
        <v>142.47108499999999</v>
      </c>
      <c r="M275" s="5">
        <v>27.913564999999998</v>
      </c>
      <c r="N275" s="5">
        <v>42.249893</v>
      </c>
      <c r="O275" s="5">
        <v>55.425872999999996</v>
      </c>
      <c r="P275" s="5">
        <v>150.81089799999998</v>
      </c>
      <c r="Q275" s="5">
        <v>102.44000199999999</v>
      </c>
      <c r="R275" s="5">
        <v>226.495621</v>
      </c>
      <c r="S275" s="5">
        <v>122.48738899999999</v>
      </c>
      <c r="T275" s="6">
        <v>3871.97998046875</v>
      </c>
    </row>
    <row r="276" spans="1:20">
      <c r="A276" s="37">
        <v>44866</v>
      </c>
      <c r="B276" s="5">
        <v>7.0645309999999997</v>
      </c>
      <c r="C276" s="5">
        <v>34.963256999999999</v>
      </c>
      <c r="D276" s="5">
        <v>128.334183</v>
      </c>
      <c r="E276" s="5">
        <v>42.910979999999995</v>
      </c>
      <c r="F276" s="5">
        <v>85.852890000000002</v>
      </c>
      <c r="G276" s="5">
        <v>20.649049999999999</v>
      </c>
      <c r="H276" s="5">
        <v>423.16769399999998</v>
      </c>
      <c r="I276" s="5">
        <v>138.280258</v>
      </c>
      <c r="J276" s="5">
        <v>72.709853999999993</v>
      </c>
      <c r="K276" s="5">
        <v>41.784366999999996</v>
      </c>
      <c r="L276" s="5">
        <v>151.820313</v>
      </c>
      <c r="M276" s="5">
        <v>35.431529999999995</v>
      </c>
      <c r="N276" s="5">
        <v>44.050491000000001</v>
      </c>
      <c r="O276" s="5">
        <v>58.402203</v>
      </c>
      <c r="P276" s="5">
        <v>145.588425</v>
      </c>
      <c r="Q276" s="5">
        <v>96.54000099999999</v>
      </c>
      <c r="R276" s="5">
        <v>248.94712799999999</v>
      </c>
      <c r="S276" s="5">
        <v>131.88497899999999</v>
      </c>
      <c r="T276" s="6">
        <v>4080.110107421875</v>
      </c>
    </row>
    <row r="277" spans="1:20">
      <c r="A277" s="37">
        <v>44896</v>
      </c>
      <c r="B277" s="5">
        <v>6.9312379999999996</v>
      </c>
      <c r="C277" s="5">
        <v>30.594009</v>
      </c>
      <c r="D277" s="5">
        <v>124.544899</v>
      </c>
      <c r="E277" s="5">
        <v>40.556179</v>
      </c>
      <c r="F277" s="5">
        <v>79.508026000000001</v>
      </c>
      <c r="G277" s="5">
        <v>18.144801999999999</v>
      </c>
      <c r="H277" s="5">
        <v>411.42257699999999</v>
      </c>
      <c r="I277" s="5">
        <v>140.50520299999999</v>
      </c>
      <c r="J277" s="5">
        <v>67.508330999999998</v>
      </c>
      <c r="K277" s="5">
        <v>43.075637999999998</v>
      </c>
      <c r="L277" s="5">
        <v>142.340576</v>
      </c>
      <c r="M277" s="5">
        <v>31.380830999999997</v>
      </c>
      <c r="N277" s="5">
        <v>38.176425999999999</v>
      </c>
      <c r="O277" s="5">
        <v>56.669570999999998</v>
      </c>
      <c r="P277" s="5">
        <v>127.99897</v>
      </c>
      <c r="Q277" s="5">
        <v>84</v>
      </c>
      <c r="R277" s="5">
        <v>234.65841699999999</v>
      </c>
      <c r="S277" s="5">
        <v>126.27816</v>
      </c>
      <c r="T277" s="6">
        <v>3839.5</v>
      </c>
    </row>
    <row r="278" spans="1:20">
      <c r="A278" s="37">
        <v>44927</v>
      </c>
      <c r="B278" s="5">
        <v>8.2463949999999997</v>
      </c>
      <c r="C278" s="5">
        <v>32.965626</v>
      </c>
      <c r="D278" s="5">
        <v>129.98736599999998</v>
      </c>
      <c r="E278" s="5">
        <v>46.823864</v>
      </c>
      <c r="F278" s="5">
        <v>88.318862999999993</v>
      </c>
      <c r="G278" s="5">
        <v>20.917061</v>
      </c>
      <c r="H278" s="5">
        <v>406.87698399999999</v>
      </c>
      <c r="I278" s="5">
        <v>131.994766</v>
      </c>
      <c r="J278" s="5">
        <v>80.260513000000003</v>
      </c>
      <c r="K278" s="5">
        <v>37.123733999999999</v>
      </c>
      <c r="L278" s="5">
        <v>168.52543599999998</v>
      </c>
      <c r="M278" s="5">
        <v>33.681705000000001</v>
      </c>
      <c r="N278" s="5">
        <v>43.335643999999995</v>
      </c>
      <c r="O278" s="5">
        <v>60.572375999999998</v>
      </c>
      <c r="P278" s="5">
        <v>142.145554</v>
      </c>
      <c r="Q278" s="5">
        <v>103.12999699999999</v>
      </c>
      <c r="R278" s="5">
        <v>242.47644</v>
      </c>
      <c r="S278" s="5">
        <v>120.756996</v>
      </c>
      <c r="T278" s="6">
        <v>4076.60009765625</v>
      </c>
    </row>
    <row r="279" spans="1:20">
      <c r="A279" s="37">
        <v>44958</v>
      </c>
      <c r="B279" s="5">
        <v>7.5177269999999998</v>
      </c>
      <c r="C279" s="5">
        <v>31.869254999999999</v>
      </c>
      <c r="D279" s="5">
        <v>134.11923199999998</v>
      </c>
      <c r="E279" s="5">
        <v>45.451957999999998</v>
      </c>
      <c r="F279" s="5">
        <v>84.047332999999995</v>
      </c>
      <c r="G279" s="5">
        <v>18.11101</v>
      </c>
      <c r="H279" s="5">
        <v>403.41290299999997</v>
      </c>
      <c r="I279" s="5">
        <v>128.32656900000001</v>
      </c>
      <c r="J279" s="5">
        <v>76.935431999999992</v>
      </c>
      <c r="K279" s="5">
        <v>34.418858</v>
      </c>
      <c r="L279" s="5">
        <v>168.20086699999999</v>
      </c>
      <c r="M279" s="5">
        <v>37.323504999999997</v>
      </c>
      <c r="N279" s="5">
        <v>43.243190999999996</v>
      </c>
      <c r="O279" s="5">
        <v>58.872405999999998</v>
      </c>
      <c r="P279" s="5">
        <v>145.21920799999998</v>
      </c>
      <c r="Q279" s="5">
        <v>94.230002999999996</v>
      </c>
      <c r="R279" s="5">
        <v>244.05180399999998</v>
      </c>
      <c r="S279" s="5">
        <v>115.89016699999999</v>
      </c>
      <c r="T279" s="6">
        <v>3970.14990234375</v>
      </c>
    </row>
    <row r="280" spans="1:20">
      <c r="A280" s="37">
        <v>44986</v>
      </c>
      <c r="B280" s="5">
        <v>6.581264</v>
      </c>
      <c r="C280" s="5">
        <v>26.573190999999998</v>
      </c>
      <c r="D280" s="5">
        <v>121.918915</v>
      </c>
      <c r="E280" s="5">
        <v>42.459308999999998</v>
      </c>
      <c r="F280" s="5">
        <v>79.036057</v>
      </c>
      <c r="G280" s="5">
        <v>15.481992</v>
      </c>
      <c r="H280" s="5">
        <v>397.29296899999997</v>
      </c>
      <c r="I280" s="5">
        <v>138.709518</v>
      </c>
      <c r="J280" s="5">
        <v>72.415099999999995</v>
      </c>
      <c r="K280" s="5">
        <v>34.613987000000002</v>
      </c>
      <c r="L280" s="5">
        <v>159.46163899999999</v>
      </c>
      <c r="M280" s="5">
        <v>37.691894999999995</v>
      </c>
      <c r="N280" s="5">
        <v>34.781723</v>
      </c>
      <c r="O280" s="5">
        <v>52.989585999999996</v>
      </c>
      <c r="P280" s="5">
        <v>162.69729599999999</v>
      </c>
      <c r="Q280" s="5">
        <v>103.29000099999999</v>
      </c>
      <c r="R280" s="5">
        <v>282.801514</v>
      </c>
      <c r="S280" s="5">
        <v>118.93770599999999</v>
      </c>
      <c r="T280" s="6">
        <v>4109.31005859375</v>
      </c>
    </row>
    <row r="281" spans="1:20">
      <c r="A281" s="37">
        <v>45017</v>
      </c>
      <c r="B281" s="5">
        <v>7.3867589999999996</v>
      </c>
      <c r="C281" s="5">
        <v>27.381453</v>
      </c>
      <c r="D281" s="5">
        <v>129.33828700000001</v>
      </c>
      <c r="E281" s="5">
        <v>42.622302999999995</v>
      </c>
      <c r="F281" s="5">
        <v>79.993957999999992</v>
      </c>
      <c r="G281" s="5">
        <v>14.593128</v>
      </c>
      <c r="H281" s="5">
        <v>364.88699299999996</v>
      </c>
      <c r="I281" s="5">
        <v>145.883331</v>
      </c>
      <c r="J281" s="5">
        <v>78.30941</v>
      </c>
      <c r="K281" s="5">
        <v>32.993580000000001</v>
      </c>
      <c r="L281" s="5">
        <v>155.97174099999998</v>
      </c>
      <c r="M281" s="5">
        <v>38.535312999999995</v>
      </c>
      <c r="N281" s="5">
        <v>36.986987999999997</v>
      </c>
      <c r="O281" s="5">
        <v>53.635368</v>
      </c>
      <c r="P281" s="5">
        <v>167.41343699999999</v>
      </c>
      <c r="Q281" s="5">
        <v>105.449997</v>
      </c>
      <c r="R281" s="5">
        <v>301.39993299999998</v>
      </c>
      <c r="S281" s="5">
        <v>114.691559</v>
      </c>
      <c r="T281" s="6">
        <v>4169.47998046875</v>
      </c>
    </row>
    <row r="282" spans="1:20">
      <c r="A282" s="37">
        <v>45047</v>
      </c>
      <c r="B282" s="5">
        <v>6.8833249999999992</v>
      </c>
      <c r="C282" s="5">
        <v>25.988063999999998</v>
      </c>
      <c r="D282" s="5">
        <v>127.96767399999999</v>
      </c>
      <c r="E282" s="5">
        <v>40.572123999999995</v>
      </c>
      <c r="F282" s="5">
        <v>74.861915999999994</v>
      </c>
      <c r="G282" s="5">
        <v>12.137126</v>
      </c>
      <c r="H282" s="5">
        <v>333.96014399999996</v>
      </c>
      <c r="I282" s="5">
        <v>133.76728800000001</v>
      </c>
      <c r="J282" s="5">
        <v>67.996948000000003</v>
      </c>
      <c r="K282" s="5">
        <v>32.255485999999998</v>
      </c>
      <c r="L282" s="5">
        <v>153.852127</v>
      </c>
      <c r="M282" s="5">
        <v>34.435603999999998</v>
      </c>
      <c r="N282" s="5">
        <v>37.042828</v>
      </c>
      <c r="O282" s="5">
        <v>50.667857999999995</v>
      </c>
      <c r="P282" s="5">
        <v>174.88230899999999</v>
      </c>
      <c r="Q282" s="5">
        <v>120.58000199999999</v>
      </c>
      <c r="R282" s="5">
        <v>322.12695299999996</v>
      </c>
      <c r="S282" s="5">
        <v>116.66946399999999</v>
      </c>
      <c r="T282" s="6">
        <v>4179.830078125</v>
      </c>
    </row>
    <row r="283" spans="1:20">
      <c r="A283" s="37">
        <v>45078</v>
      </c>
      <c r="B283" s="5">
        <v>7.1945399999999999</v>
      </c>
      <c r="C283" s="5">
        <v>26.829705999999998</v>
      </c>
      <c r="D283" s="5">
        <v>137.14257799999999</v>
      </c>
      <c r="E283" s="5">
        <v>42.146674999999995</v>
      </c>
      <c r="F283" s="5">
        <v>81.05478699999999</v>
      </c>
      <c r="G283" s="5">
        <v>14.334131999999999</v>
      </c>
      <c r="H283" s="5">
        <v>391.11312899999996</v>
      </c>
      <c r="I283" s="5">
        <v>142.44103999999999</v>
      </c>
      <c r="J283" s="5">
        <v>84.993904000000001</v>
      </c>
      <c r="K283" s="5">
        <v>31.455375999999998</v>
      </c>
      <c r="L283" s="5">
        <v>169.027771</v>
      </c>
      <c r="M283" s="5">
        <v>38.285553</v>
      </c>
      <c r="N283" s="5">
        <v>40.023986999999998</v>
      </c>
      <c r="O283" s="5">
        <v>55.510849</v>
      </c>
      <c r="P283" s="5">
        <v>191.643677</v>
      </c>
      <c r="Q283" s="5">
        <v>130.36000099999998</v>
      </c>
      <c r="R283" s="5">
        <v>334.77551299999999</v>
      </c>
      <c r="S283" s="5">
        <v>123.060997</v>
      </c>
      <c r="T283" s="6">
        <v>4450.3798828125</v>
      </c>
    </row>
    <row r="284" spans="1:20">
      <c r="A284" s="37">
        <v>45108</v>
      </c>
      <c r="B284" s="5">
        <v>7.3135319999999995</v>
      </c>
      <c r="C284" s="5">
        <v>30.163875999999998</v>
      </c>
      <c r="D284" s="5">
        <v>148.94830299999998</v>
      </c>
      <c r="E284" s="5">
        <v>43.629677000000001</v>
      </c>
      <c r="F284" s="5">
        <v>83.397292999999991</v>
      </c>
      <c r="G284" s="5">
        <v>14.967359</v>
      </c>
      <c r="H284" s="5">
        <v>415.95825199999996</v>
      </c>
      <c r="I284" s="5">
        <v>146.72160299999999</v>
      </c>
      <c r="J284" s="5">
        <v>90.992820999999992</v>
      </c>
      <c r="K284" s="5">
        <v>30.923690999999998</v>
      </c>
      <c r="L284" s="5">
        <v>163.865723</v>
      </c>
      <c r="M284" s="5">
        <v>39.627192999999998</v>
      </c>
      <c r="N284" s="5">
        <v>43.287425999999996</v>
      </c>
      <c r="O284" s="5">
        <v>59.028953999999999</v>
      </c>
      <c r="P284" s="5">
        <v>194.09394799999998</v>
      </c>
      <c r="Q284" s="5">
        <v>133.679993</v>
      </c>
      <c r="R284" s="5">
        <v>330.23370399999999</v>
      </c>
      <c r="S284" s="5">
        <v>132.59797699999999</v>
      </c>
      <c r="T284" s="6">
        <v>4588.9599609375</v>
      </c>
    </row>
    <row r="285" spans="1:20">
      <c r="A285" s="37">
        <v>45139</v>
      </c>
      <c r="B285" s="5">
        <v>6.8741719999999997</v>
      </c>
      <c r="C285" s="5">
        <v>27.024947999999998</v>
      </c>
      <c r="D285" s="5">
        <v>138.929428</v>
      </c>
      <c r="E285" s="5">
        <v>37.798355000000001</v>
      </c>
      <c r="F285" s="5">
        <v>78.198707999999996</v>
      </c>
      <c r="G285" s="5">
        <v>11.033799999999999</v>
      </c>
      <c r="H285" s="5">
        <v>397.89077799999995</v>
      </c>
      <c r="I285" s="5">
        <v>145.794556</v>
      </c>
      <c r="J285" s="5">
        <v>86.510550999999992</v>
      </c>
      <c r="K285" s="5">
        <v>30.678580999999998</v>
      </c>
      <c r="L285" s="5">
        <v>153.82472199999998</v>
      </c>
      <c r="M285" s="5">
        <v>43.158515999999999</v>
      </c>
      <c r="N285" s="5">
        <v>38.720492999999998</v>
      </c>
      <c r="O285" s="5">
        <v>55.266917999999997</v>
      </c>
      <c r="P285" s="5">
        <v>185.61685199999999</v>
      </c>
      <c r="Q285" s="5">
        <v>138.009995</v>
      </c>
      <c r="R285" s="5">
        <v>322.21182299999998</v>
      </c>
      <c r="S285" s="5">
        <v>135.03512599999999</v>
      </c>
      <c r="T285" s="6">
        <v>4507.66015625</v>
      </c>
    </row>
    <row r="286" spans="1:20">
      <c r="A286" s="37">
        <v>45170</v>
      </c>
      <c r="B286" s="5">
        <v>7.2646409999999992</v>
      </c>
      <c r="C286" s="5">
        <v>26.024041999999998</v>
      </c>
      <c r="D286" s="5">
        <v>137.68566899999999</v>
      </c>
      <c r="E286" s="5">
        <v>38.088736999999995</v>
      </c>
      <c r="F286" s="5">
        <v>76.63636799999999</v>
      </c>
      <c r="G286" s="5">
        <v>10.474444</v>
      </c>
      <c r="H286" s="5">
        <v>365.39648399999999</v>
      </c>
      <c r="I286" s="5">
        <v>137.78405799999999</v>
      </c>
      <c r="J286" s="5">
        <v>76.611075999999997</v>
      </c>
      <c r="K286" s="5">
        <v>28.762250999999999</v>
      </c>
      <c r="L286" s="5">
        <v>145.25671399999999</v>
      </c>
      <c r="M286" s="5">
        <v>40.165591999999997</v>
      </c>
      <c r="N286" s="5">
        <v>38.61694</v>
      </c>
      <c r="O286" s="5">
        <v>54.587520999999995</v>
      </c>
      <c r="P286" s="5">
        <v>169.385086</v>
      </c>
      <c r="Q286" s="5">
        <v>127.120003</v>
      </c>
      <c r="R286" s="5">
        <v>311.06231700000001</v>
      </c>
      <c r="S286" s="5">
        <v>130.51449600000001</v>
      </c>
      <c r="T286" s="6">
        <v>4288.0498046875</v>
      </c>
    </row>
    <row r="287" spans="1:20">
      <c r="A287" s="37">
        <v>45200</v>
      </c>
      <c r="B287" s="5">
        <v>5.9963600000000001</v>
      </c>
      <c r="C287" s="5">
        <v>25.035544999999999</v>
      </c>
      <c r="D287" s="5">
        <v>132.02711499999998</v>
      </c>
      <c r="E287" s="5">
        <v>36.570003999999997</v>
      </c>
      <c r="F287" s="5">
        <v>68.624847000000003</v>
      </c>
      <c r="G287" s="5">
        <v>11.150653</v>
      </c>
      <c r="H287" s="5">
        <v>355.00500499999998</v>
      </c>
      <c r="I287" s="5">
        <v>141.72318999999999</v>
      </c>
      <c r="J287" s="5">
        <v>78.633353999999997</v>
      </c>
      <c r="K287" s="5">
        <v>26.499077</v>
      </c>
      <c r="L287" s="5">
        <v>142.18005399999998</v>
      </c>
      <c r="M287" s="5">
        <v>39.297939</v>
      </c>
      <c r="N287" s="5">
        <v>37.586776999999998</v>
      </c>
      <c r="O287" s="5">
        <v>50.583599</v>
      </c>
      <c r="P287" s="5">
        <v>168.94975299999999</v>
      </c>
      <c r="Q287" s="5">
        <v>133.08999599999999</v>
      </c>
      <c r="R287" s="5">
        <v>333.09036299999997</v>
      </c>
      <c r="S287" s="5">
        <v>134.551804</v>
      </c>
      <c r="T287" s="6">
        <v>4193.7998046875</v>
      </c>
    </row>
    <row r="288" spans="1:20">
      <c r="A288" s="37">
        <v>45231</v>
      </c>
      <c r="B288" s="5">
        <v>6.7330819999999996</v>
      </c>
      <c r="C288" s="5">
        <v>28.980021999999998</v>
      </c>
      <c r="D288" s="5">
        <v>149.27972399999999</v>
      </c>
      <c r="E288" s="5">
        <v>42.691237999999998</v>
      </c>
      <c r="F288" s="5">
        <v>75.797660999999991</v>
      </c>
      <c r="G288" s="5">
        <v>14.519649999999999</v>
      </c>
      <c r="H288" s="5">
        <v>354.08196999999996</v>
      </c>
      <c r="I288" s="5">
        <v>145.93528699999999</v>
      </c>
      <c r="J288" s="5">
        <v>84.042006999999998</v>
      </c>
      <c r="K288" s="5">
        <v>26.421039999999998</v>
      </c>
      <c r="L288" s="5">
        <v>166.95095799999999</v>
      </c>
      <c r="M288" s="5">
        <v>45.933242999999997</v>
      </c>
      <c r="N288" s="5">
        <v>42.142173999999997</v>
      </c>
      <c r="O288" s="5">
        <v>55.925013999999997</v>
      </c>
      <c r="P288" s="5">
        <v>187.92532299999999</v>
      </c>
      <c r="Q288" s="5">
        <v>146.08999599999999</v>
      </c>
      <c r="R288" s="5">
        <v>373.28463699999998</v>
      </c>
      <c r="S288" s="5">
        <v>147.50093099999998</v>
      </c>
      <c r="T288" s="6">
        <v>4567.7998046875</v>
      </c>
    </row>
    <row r="289" spans="1:20">
      <c r="A289" s="37">
        <v>45261</v>
      </c>
      <c r="B289" s="5">
        <v>7.3485719999999999</v>
      </c>
      <c r="C289" s="5">
        <v>32.257956999999998</v>
      </c>
      <c r="D289" s="5">
        <v>162.688919</v>
      </c>
      <c r="E289" s="5">
        <v>48.254886999999997</v>
      </c>
      <c r="F289" s="5">
        <v>91.134063999999995</v>
      </c>
      <c r="G289" s="5">
        <v>18.419633999999999</v>
      </c>
      <c r="H289" s="5">
        <v>388.53698700000001</v>
      </c>
      <c r="I289" s="5">
        <v>139.30012499999998</v>
      </c>
      <c r="J289" s="5">
        <v>91.509223999999989</v>
      </c>
      <c r="K289" s="5">
        <v>25.300860999999998</v>
      </c>
      <c r="L289" s="5">
        <v>183.150375</v>
      </c>
      <c r="M289" s="5">
        <v>47.888263999999999</v>
      </c>
      <c r="N289" s="5">
        <v>46.932713</v>
      </c>
      <c r="O289" s="5">
        <v>59.253558999999996</v>
      </c>
      <c r="P289" s="5">
        <v>190.72875999999999</v>
      </c>
      <c r="Q289" s="5">
        <v>151.94000199999999</v>
      </c>
      <c r="R289" s="5">
        <v>371.209137</v>
      </c>
      <c r="S289" s="5">
        <v>153.868393</v>
      </c>
      <c r="T289" s="6">
        <v>4769.830078125</v>
      </c>
    </row>
    <row r="290" spans="1:20">
      <c r="A290" s="37">
        <v>45292</v>
      </c>
      <c r="B290" s="5">
        <v>7.0315009999999996</v>
      </c>
      <c r="C290" s="5">
        <v>32.583701999999995</v>
      </c>
      <c r="D290" s="5">
        <v>166.76328999999998</v>
      </c>
      <c r="E290" s="5">
        <v>52.692008999999999</v>
      </c>
      <c r="F290" s="5">
        <v>86.749602999999993</v>
      </c>
      <c r="G290" s="5">
        <v>16.886884999999999</v>
      </c>
      <c r="H290" s="5">
        <v>383.83004799999998</v>
      </c>
      <c r="I290" s="5">
        <v>149.376419</v>
      </c>
      <c r="J290" s="5">
        <v>87.031707999999995</v>
      </c>
      <c r="K290" s="5">
        <v>23.798100999999999</v>
      </c>
      <c r="L290" s="5">
        <v>196.250732</v>
      </c>
      <c r="M290" s="5">
        <v>47.467940999999996</v>
      </c>
      <c r="N290" s="5">
        <v>47.848098999999998</v>
      </c>
      <c r="O290" s="5">
        <v>55.686606999999995</v>
      </c>
      <c r="P290" s="5">
        <v>182.67481999999998</v>
      </c>
      <c r="Q290" s="5">
        <v>155.199997</v>
      </c>
      <c r="R290" s="5">
        <v>392.47241199999996</v>
      </c>
      <c r="S290" s="5">
        <v>172.78791799999999</v>
      </c>
      <c r="T290" s="6">
        <v>4845.64990234375</v>
      </c>
    </row>
    <row r="291" spans="1:20">
      <c r="A291" s="37">
        <v>45323</v>
      </c>
      <c r="B291" s="5">
        <v>7.9267579999999995</v>
      </c>
      <c r="C291" s="5">
        <v>33.072314999999996</v>
      </c>
      <c r="D291" s="5">
        <v>179.05085800000001</v>
      </c>
      <c r="E291" s="5">
        <v>52.054114999999996</v>
      </c>
      <c r="F291" s="5">
        <v>84.33805799999999</v>
      </c>
      <c r="G291" s="5">
        <v>16.102093</v>
      </c>
      <c r="H291" s="5">
        <v>356.00680499999999</v>
      </c>
      <c r="I291" s="5">
        <v>152.041687</v>
      </c>
      <c r="J291" s="5">
        <v>83.291122000000001</v>
      </c>
      <c r="K291" s="5">
        <v>23.692367999999998</v>
      </c>
      <c r="L291" s="5">
        <v>215.205963</v>
      </c>
      <c r="M291" s="5">
        <v>43.381599000000001</v>
      </c>
      <c r="N291" s="5">
        <v>53.006686999999999</v>
      </c>
      <c r="O291" s="5">
        <v>55.671073999999997</v>
      </c>
      <c r="P291" s="5">
        <v>179.05900599999998</v>
      </c>
      <c r="Q291" s="5">
        <v>176.759995</v>
      </c>
      <c r="R291" s="5">
        <v>408.32614100000001</v>
      </c>
      <c r="S291" s="5">
        <v>174.07681299999999</v>
      </c>
      <c r="T291" s="6">
        <v>5096.27001953125</v>
      </c>
    </row>
    <row r="292" spans="1:20">
      <c r="A292" s="37">
        <v>45352</v>
      </c>
      <c r="B292" s="5">
        <v>9.0940469999999998</v>
      </c>
      <c r="C292" s="5">
        <v>36.585639999999998</v>
      </c>
      <c r="D292" s="5">
        <v>192.754425</v>
      </c>
      <c r="E292" s="5">
        <v>59.890460999999995</v>
      </c>
      <c r="F292" s="5">
        <v>91.02919</v>
      </c>
      <c r="G292" s="5">
        <v>18.456468999999998</v>
      </c>
      <c r="H292" s="5">
        <v>400.56497199999995</v>
      </c>
      <c r="I292" s="5">
        <v>155.208023</v>
      </c>
      <c r="J292" s="5">
        <v>91.350646999999995</v>
      </c>
      <c r="K292" s="5">
        <v>24.753885</v>
      </c>
      <c r="L292" s="5">
        <v>223.31715399999999</v>
      </c>
      <c r="M292" s="5">
        <v>42.343105000000001</v>
      </c>
      <c r="N292" s="5">
        <v>55.654742999999996</v>
      </c>
      <c r="O292" s="5">
        <v>56.023658999999995</v>
      </c>
      <c r="P292" s="5">
        <v>170.092468</v>
      </c>
      <c r="Q292" s="5">
        <v>180.38000499999998</v>
      </c>
      <c r="R292" s="5">
        <v>416.083191</v>
      </c>
      <c r="S292" s="5">
        <v>181.29368599999998</v>
      </c>
      <c r="T292" s="6">
        <v>5254.35009765625</v>
      </c>
    </row>
    <row r="293" spans="1:20">
      <c r="A293" s="37">
        <v>45383</v>
      </c>
      <c r="B293" s="5">
        <v>9.8542899999999989</v>
      </c>
      <c r="C293" s="5">
        <v>35.707661000000002</v>
      </c>
      <c r="D293" s="5">
        <v>184.51689099999999</v>
      </c>
      <c r="E293" s="5">
        <v>58.081626999999997</v>
      </c>
      <c r="F293" s="5">
        <v>83.238395999999995</v>
      </c>
      <c r="G293" s="5">
        <v>17.158655</v>
      </c>
      <c r="H293" s="5">
        <v>383.12707499999999</v>
      </c>
      <c r="I293" s="5">
        <v>156.11676</v>
      </c>
      <c r="J293" s="5">
        <v>86.03287499999999</v>
      </c>
      <c r="K293" s="5">
        <v>22.853854999999999</v>
      </c>
      <c r="L293" s="5">
        <v>229.53538499999999</v>
      </c>
      <c r="M293" s="5">
        <v>42.156959999999998</v>
      </c>
      <c r="N293" s="5">
        <v>56.960647999999999</v>
      </c>
      <c r="O293" s="5">
        <v>55.040137999999999</v>
      </c>
      <c r="P293" s="5">
        <v>168.95176699999999</v>
      </c>
      <c r="Q293" s="5">
        <v>175</v>
      </c>
      <c r="R293" s="5">
        <v>385.039063</v>
      </c>
      <c r="S293" s="5">
        <v>157.78703299999998</v>
      </c>
      <c r="T293" s="6">
        <v>5035.68994140625</v>
      </c>
    </row>
    <row r="294" spans="1:20">
      <c r="A294" s="37">
        <v>45413</v>
      </c>
      <c r="B294" s="5">
        <v>10.922480999999999</v>
      </c>
      <c r="C294" s="5">
        <v>38.582805999999998</v>
      </c>
      <c r="D294" s="5">
        <v>196.134094</v>
      </c>
      <c r="E294" s="5">
        <v>59.009715999999997</v>
      </c>
      <c r="F294" s="5">
        <v>84.045211999999992</v>
      </c>
      <c r="G294" s="5">
        <v>18.136220999999999</v>
      </c>
      <c r="H294" s="5">
        <v>366.82943699999998</v>
      </c>
      <c r="I294" s="5">
        <v>158.41494799999998</v>
      </c>
      <c r="J294" s="5">
        <v>82.051276999999999</v>
      </c>
      <c r="K294" s="5">
        <v>25.565633999999999</v>
      </c>
      <c r="L294" s="5">
        <v>236.12005599999998</v>
      </c>
      <c r="M294" s="5">
        <v>50.312531</v>
      </c>
      <c r="N294" s="5">
        <v>57.536784999999995</v>
      </c>
      <c r="O294" s="5">
        <v>52.550739</v>
      </c>
      <c r="P294" s="5">
        <v>190.69439699999998</v>
      </c>
      <c r="Q294" s="5">
        <v>176.44000199999999</v>
      </c>
      <c r="R294" s="5">
        <v>410.554779</v>
      </c>
      <c r="S294" s="5">
        <v>158.40412899999998</v>
      </c>
      <c r="T294" s="6">
        <v>5277.509765625</v>
      </c>
    </row>
    <row r="295" spans="1:20">
      <c r="A295" s="37">
        <v>45444</v>
      </c>
      <c r="B295" s="5">
        <v>10.306585999999999</v>
      </c>
      <c r="C295" s="5">
        <v>38.370547999999999</v>
      </c>
      <c r="D295" s="5">
        <v>195.77593999999999</v>
      </c>
      <c r="E295" s="5">
        <v>60.620888000000001</v>
      </c>
      <c r="F295" s="5">
        <v>79.084182999999996</v>
      </c>
      <c r="G295" s="5">
        <v>17.875540000000001</v>
      </c>
      <c r="H295" s="5">
        <v>365.72332799999998</v>
      </c>
      <c r="I295" s="5">
        <v>158.780823</v>
      </c>
      <c r="J295" s="5">
        <v>75.19876099999999</v>
      </c>
      <c r="K295" s="5">
        <v>25.335452999999998</v>
      </c>
      <c r="L295" s="5">
        <v>227.806656</v>
      </c>
      <c r="M295" s="5">
        <v>50.322353</v>
      </c>
      <c r="N295" s="5">
        <v>57.355720999999996</v>
      </c>
      <c r="O295" s="5">
        <v>51.648585999999995</v>
      </c>
      <c r="P295" s="5">
        <v>209.19911199999999</v>
      </c>
      <c r="Q295" s="5">
        <v>193.25</v>
      </c>
      <c r="R295" s="5">
        <v>442.82135</v>
      </c>
      <c r="S295" s="5">
        <v>165.82527199999998</v>
      </c>
      <c r="T295" s="6">
        <v>5460.47998046875</v>
      </c>
    </row>
    <row r="296" spans="1:20">
      <c r="A296" s="37">
        <v>45474</v>
      </c>
      <c r="B296" s="5">
        <v>11.471008999999999</v>
      </c>
      <c r="C296" s="5">
        <v>39.128085999999996</v>
      </c>
      <c r="D296" s="5">
        <v>205.978058</v>
      </c>
      <c r="E296" s="5">
        <v>61.977359999999997</v>
      </c>
      <c r="F296" s="5">
        <v>79.536911000000003</v>
      </c>
      <c r="G296" s="5">
        <v>16.236601</v>
      </c>
      <c r="H296" s="5">
        <v>365.53436299999998</v>
      </c>
      <c r="I296" s="5">
        <v>154.77564999999998</v>
      </c>
      <c r="J296" s="5">
        <v>100.352295</v>
      </c>
      <c r="K296" s="5">
        <v>27.653496000000001</v>
      </c>
      <c r="L296" s="5">
        <v>248.949219</v>
      </c>
      <c r="M296" s="5">
        <v>52.661102</v>
      </c>
      <c r="N296" s="5">
        <v>57.307434000000001</v>
      </c>
      <c r="O296" s="5">
        <v>55.473357999999998</v>
      </c>
      <c r="P296" s="5">
        <v>220.581818</v>
      </c>
      <c r="Q296" s="5">
        <v>186.979996</v>
      </c>
      <c r="R296" s="5">
        <v>414.48553499999997</v>
      </c>
      <c r="S296" s="5">
        <v>184.224762</v>
      </c>
      <c r="T296" s="6">
        <v>5522.2998046875</v>
      </c>
    </row>
    <row r="297" spans="1:20">
      <c r="A297" s="37">
        <v>45505</v>
      </c>
      <c r="B297" s="5">
        <v>11.711594</v>
      </c>
      <c r="C297" s="5">
        <v>39.555186999999997</v>
      </c>
      <c r="D297" s="5">
        <v>218.79905699999998</v>
      </c>
      <c r="E297" s="5">
        <v>59.837569999999999</v>
      </c>
      <c r="F297" s="5">
        <v>79.892135999999994</v>
      </c>
      <c r="G297" s="5">
        <v>14.629850999999999</v>
      </c>
      <c r="H297" s="5">
        <v>379.05587800000001</v>
      </c>
      <c r="I297" s="5">
        <v>166.14767499999999</v>
      </c>
      <c r="J297" s="5">
        <v>97.254874999999998</v>
      </c>
      <c r="K297" s="5">
        <v>26.638821</v>
      </c>
      <c r="L297" s="5">
        <v>255.22647099999998</v>
      </c>
      <c r="M297" s="5">
        <v>54.113112999999998</v>
      </c>
      <c r="N297" s="5">
        <v>56.467231999999996</v>
      </c>
      <c r="O297" s="5">
        <v>57.073432999999994</v>
      </c>
      <c r="P297" s="5">
        <v>227.455139</v>
      </c>
      <c r="Q297" s="5">
        <v>178.5</v>
      </c>
      <c r="R297" s="5">
        <v>413.286743</v>
      </c>
      <c r="S297" s="5">
        <v>193.80320699999999</v>
      </c>
      <c r="T297" s="6">
        <v>5648.39990234375</v>
      </c>
    </row>
    <row r="298" spans="1:20">
      <c r="A298" s="37">
        <v>45536</v>
      </c>
      <c r="B298" s="5">
        <v>11.841108</v>
      </c>
      <c r="C298" s="5">
        <v>38.516559999999998</v>
      </c>
      <c r="D298" s="5">
        <v>205.23118599999998</v>
      </c>
      <c r="E298" s="5">
        <v>60.374751999999994</v>
      </c>
      <c r="F298" s="5">
        <v>86.178779999999989</v>
      </c>
      <c r="G298" s="5">
        <v>14.742604999999999</v>
      </c>
      <c r="H298" s="5">
        <v>410.09844999999996</v>
      </c>
      <c r="I298" s="5">
        <v>167.75550799999999</v>
      </c>
      <c r="J298" s="5">
        <v>104.63736</v>
      </c>
      <c r="K298" s="5">
        <v>26.574545000000001</v>
      </c>
      <c r="L298" s="5">
        <v>267.61038200000002</v>
      </c>
      <c r="M298" s="5">
        <v>54.842105999999994</v>
      </c>
      <c r="N298" s="5">
        <v>54.971820999999998</v>
      </c>
      <c r="O298" s="5">
        <v>60.254767999999999</v>
      </c>
      <c r="P298" s="5">
        <v>231.696045</v>
      </c>
      <c r="Q298" s="5">
        <v>186.33000199999998</v>
      </c>
      <c r="R298" s="5">
        <v>427.09356700000001</v>
      </c>
      <c r="S298" s="5">
        <v>213.826538</v>
      </c>
      <c r="T298" s="6">
        <v>5762.47998046875</v>
      </c>
    </row>
    <row r="299" spans="1:20">
      <c r="A299" s="37">
        <v>45566</v>
      </c>
      <c r="B299" s="5">
        <v>12.094498999999999</v>
      </c>
      <c r="C299" s="5">
        <v>40.858463</v>
      </c>
      <c r="D299" s="5">
        <v>215.99594099999999</v>
      </c>
      <c r="E299" s="5">
        <v>61.888942999999998</v>
      </c>
      <c r="F299" s="5">
        <v>87.057769999999991</v>
      </c>
      <c r="G299" s="5">
        <v>14.586514999999999</v>
      </c>
      <c r="H299" s="5">
        <v>399.080963</v>
      </c>
      <c r="I299" s="5">
        <v>159.98762499999998</v>
      </c>
      <c r="J299" s="5">
        <v>89.017821999999995</v>
      </c>
      <c r="K299" s="5">
        <v>25.986853</v>
      </c>
      <c r="L299" s="5">
        <v>266.50518799999998</v>
      </c>
      <c r="M299" s="5">
        <v>55.009574999999998</v>
      </c>
      <c r="N299" s="5">
        <v>63.175266000000001</v>
      </c>
      <c r="O299" s="5">
        <v>52.644340999999997</v>
      </c>
      <c r="P299" s="5">
        <v>224.64570599999999</v>
      </c>
      <c r="Q299" s="5">
        <v>186.39999399999999</v>
      </c>
      <c r="R299" s="5">
        <v>403.32208299999996</v>
      </c>
      <c r="S299" s="5">
        <v>199.937668</v>
      </c>
      <c r="T299" s="6">
        <v>5705.4501953125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B615D-CC07-7E47-BCEB-D9FAC4F1561E}">
  <dimension ref="A1"/>
  <sheetViews>
    <sheetView workbookViewId="0">
      <selection activeCell="A2" sqref="A2"/>
    </sheetView>
  </sheetViews>
  <sheetFormatPr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2025-11-26T20:53:36Z</dcterms:created>
  <dcterms:modified xsi:type="dcterms:W3CDTF">2025-11-26T22:31:17Z</dcterms:modified>
  <cp:category/>
  <cp:contentStatus/>
</cp:coreProperties>
</file>